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wler" sheetId="1" state="visible" r:id="rId3"/>
    <sheet name="Phoenix import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<sst xmlns="http://schemas.openxmlformats.org/spreadsheetml/2006/main" count="53" uniqueCount="53">
  <si>
    <t xml:space="preserve">ASSESSMENT_START_TIME</t>
  </si>
  <si>
    <t xml:space="preserve">FINDING_UNIQUE_ID</t>
  </si>
  <si>
    <t xml:space="preserve">PROVIDER</t>
  </si>
  <si>
    <t xml:space="preserve">CHECK_ID</t>
  </si>
  <si>
    <t xml:space="preserve">CHECK_TITLE</t>
  </si>
  <si>
    <t xml:space="preserve">CHECK_TYPE</t>
  </si>
  <si>
    <t xml:space="preserve">STATUS</t>
  </si>
  <si>
    <t xml:space="preserve">STATUS_EXTENDED</t>
  </si>
  <si>
    <t xml:space="preserve">SERVICE_NAME</t>
  </si>
  <si>
    <t xml:space="preserve">SUBSERVICE_NAME</t>
  </si>
  <si>
    <t xml:space="preserve">SEVERITY</t>
  </si>
  <si>
    <t xml:space="preserve">RESOURCE_TYPE</t>
  </si>
  <si>
    <t xml:space="preserve">RESOURCE_DETAILS</t>
  </si>
  <si>
    <t xml:space="preserve">RESOURCE_TAGS</t>
  </si>
  <si>
    <t xml:space="preserve">DESCRIPTION</t>
  </si>
  <si>
    <t xml:space="preserve">RISK</t>
  </si>
  <si>
    <t xml:space="preserve">RELATED_URL</t>
  </si>
  <si>
    <t xml:space="preserve">REMEDIATION_RECOMMENDATION_TEXT</t>
  </si>
  <si>
    <t xml:space="preserve">REMEDIATION_RECOMMENDATION_URL</t>
  </si>
  <si>
    <t xml:space="preserve">REMEDIATION_RECOMMENDATION_CODE_NATIVEIAC</t>
  </si>
  <si>
    <t xml:space="preserve">REMEDIATION_RECOMMENDATION_CODE_TERRAFORM</t>
  </si>
  <si>
    <t xml:space="preserve">REMEDIATION_RECOMMENDATION_CODE_CLI</t>
  </si>
  <si>
    <t xml:space="preserve">REMEDIATION_RECOMMENDATION_CODE_OTHER</t>
  </si>
  <si>
    <t xml:space="preserve">COMPLIANCE</t>
  </si>
  <si>
    <t xml:space="preserve">CATEGORIES</t>
  </si>
  <si>
    <t xml:space="preserve">DEPENDS_ON</t>
  </si>
  <si>
    <t xml:space="preserve">RELATED_TO</t>
  </si>
  <si>
    <t xml:space="preserve">NOTES</t>
  </si>
  <si>
    <t xml:space="preserve">PROFILE</t>
  </si>
  <si>
    <t xml:space="preserve">ACCOUNT_ID</t>
  </si>
  <si>
    <t xml:space="preserve">ACCOUNT_NAME</t>
  </si>
  <si>
    <t xml:space="preserve">ACCOUNT_EMAIL</t>
  </si>
  <si>
    <t xml:space="preserve">ACCOUNT_ARN</t>
  </si>
  <si>
    <t xml:space="preserve">ACCOUNT_ORG</t>
  </si>
  <si>
    <t xml:space="preserve">ACCOUNT_TAGS</t>
  </si>
  <si>
    <t xml:space="preserve">REGION</t>
  </si>
  <si>
    <t xml:space="preserve">RESOURCE_ID</t>
  </si>
  <si>
    <t xml:space="preserve">RESOURCE_ARN</t>
  </si>
  <si>
    <t xml:space="preserve">a_id</t>
  </si>
  <si>
    <t xml:space="preserve">at_provider_type</t>
  </si>
  <si>
    <t xml:space="preserve">at_provider_resource_id</t>
  </si>
  <si>
    <t xml:space="preserve">at_vpc</t>
  </si>
  <si>
    <t xml:space="preserve">at_subnet</t>
  </si>
  <si>
    <t xml:space="preserve">at_region</t>
  </si>
  <si>
    <t xml:space="preserve">v_name</t>
  </si>
  <si>
    <t xml:space="preserve">v_description</t>
  </si>
  <si>
    <t xml:space="preserve">v_remedy</t>
  </si>
  <si>
    <t xml:space="preserve">v_severity</t>
  </si>
  <si>
    <t xml:space="preserve">v_cve</t>
  </si>
  <si>
    <t xml:space="preserve">v_cwe</t>
  </si>
  <si>
    <t xml:space="preserve">v_published_datetime</t>
  </si>
  <si>
    <t xml:space="preserve">v_details</t>
  </si>
  <si>
    <t xml:space="preserve">a_tags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</si>
</sst>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Thh:mm:ss.0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640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7.21"/>
    <col collapsed="false" customWidth="true" hidden="false" outlineLevel="0" max="20" min="20" style="1" width="35.12"/>
    <col collapsed="false" customWidth="true" hidden="false" outlineLevel="0" max="21" min="21" style="1" width="34.07"/>
    <col collapsed="false" customWidth="true" hidden="false" outlineLevel="0" max="22" min="22" style="1" width="71.63"/>
    <col collapsed="false" customWidth="true" hidden="false" outlineLevel="0" max="23" min="23" style="1" width="72.21"/>
    <col collapsed="false" customWidth="true" hidden="false" outlineLevel="0" max="30" min="30" style="1" width="13.99"/>
    <col collapsed="false" customWidth="true" hidden="false" outlineLevel="0" max="36" min="36" style="1" width="13.75"/>
    <col collapsed="false" customWidth="true" hidden="false" outlineLevel="0" max="37" min="37" style="1" width="17.85"/>
    <col collapsed="false" customWidth="true" hidden="false" outlineLevel="0" max="38" min="38" style="1" width="111.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customFormat="false" ht="12.8" hidden="false" customHeight="false" outlineLevel="0" collapsed="false">
      <c r="A2" s="3"/>
      <c r="B2" s="1"/>
      <c r="C2" s="1"/>
      <c r="D2" s="1"/>
      <c r="E2" s="1"/>
      <c r="F2" s="1"/>
      <c r="G2" s="1"/>
      <c r="H2" s="1"/>
      <c r="I2" s="1"/>
      <c r="K2" s="1"/>
      <c r="L2" s="1"/>
      <c r="O2" s="1"/>
      <c r="P2" s="1"/>
      <c r="Q2" s="1"/>
      <c r="R2" s="1"/>
      <c r="S2" s="1"/>
      <c r="X2" s="1"/>
      <c r="AC2" s="1"/>
    </row>
    <row r="3" customFormat="false" ht="12.8" hidden="false" customHeight="false" outlineLevel="0" collapsed="false">
      <c r="A3" s="3"/>
      <c r="B3" s="1"/>
      <c r="C3" s="1"/>
      <c r="D3" s="1"/>
      <c r="E3" s="1"/>
      <c r="F3" s="1"/>
      <c r="G3" s="1"/>
      <c r="H3" s="1"/>
      <c r="I3" s="1"/>
      <c r="K3" s="1"/>
      <c r="L3" s="1"/>
      <c r="O3" s="1"/>
      <c r="P3" s="1"/>
      <c r="Q3" s="1"/>
      <c r="R3" s="1"/>
      <c r="S3" s="1"/>
      <c r="X3" s="1"/>
      <c r="AC3" s="1"/>
    </row>
    <row r="4" customFormat="false" ht="12.8" hidden="false" customHeight="false" outlineLevel="0" collapsed="false">
      <c r="A4" s="3"/>
      <c r="B4" s="1"/>
      <c r="C4" s="1"/>
      <c r="D4" s="1"/>
      <c r="E4" s="1"/>
      <c r="F4" s="1"/>
      <c r="G4" s="1"/>
      <c r="H4" s="1"/>
      <c r="I4" s="1"/>
      <c r="K4" s="1"/>
      <c r="L4" s="1"/>
      <c r="O4" s="1"/>
      <c r="P4" s="1"/>
      <c r="Q4" s="1"/>
      <c r="R4" s="1"/>
      <c r="S4" s="1"/>
      <c r="X4" s="1"/>
      <c r="AC4" s="1"/>
    </row>
    <row r="5" customFormat="false" ht="12.8" hidden="false" customHeight="false" outlineLevel="0" collapsed="false">
      <c r="A5" s="3"/>
      <c r="B5" s="1"/>
      <c r="C5" s="1"/>
      <c r="D5" s="1"/>
      <c r="E5" s="1"/>
      <c r="F5" s="1"/>
      <c r="G5" s="1"/>
      <c r="H5" s="1"/>
      <c r="I5" s="1"/>
      <c r="K5" s="1"/>
      <c r="L5" s="1"/>
      <c r="O5" s="1"/>
      <c r="P5" s="1"/>
      <c r="Q5" s="1"/>
      <c r="R5" s="1"/>
      <c r="S5" s="1"/>
      <c r="X5" s="1"/>
      <c r="AC5" s="1"/>
    </row>
    <row r="6" customFormat="false" ht="12.8" hidden="false" customHeight="false" outlineLevel="0" collapsed="false">
      <c r="A6" s="3"/>
      <c r="B6" s="1"/>
      <c r="C6" s="1"/>
      <c r="D6" s="1"/>
      <c r="E6" s="1"/>
      <c r="F6" s="1"/>
      <c r="G6" s="1"/>
      <c r="H6" s="1"/>
      <c r="I6" s="1"/>
      <c r="K6" s="1"/>
      <c r="L6" s="1"/>
      <c r="O6" s="1"/>
      <c r="P6" s="1"/>
      <c r="Q6" s="1"/>
      <c r="R6" s="1"/>
      <c r="S6" s="1"/>
      <c r="X6" s="1"/>
      <c r="AC6" s="1"/>
    </row>
    <row r="7" customFormat="false" ht="12.8" hidden="false" customHeight="false" outlineLevel="0" collapsed="false">
      <c r="A7" s="3"/>
      <c r="B7" s="1"/>
      <c r="C7" s="1"/>
      <c r="D7" s="1"/>
      <c r="E7" s="1"/>
      <c r="F7" s="1"/>
      <c r="G7" s="1"/>
      <c r="H7" s="1"/>
      <c r="I7" s="1"/>
      <c r="K7" s="1"/>
      <c r="L7" s="1"/>
      <c r="O7" s="1"/>
      <c r="P7" s="1"/>
      <c r="Q7" s="1"/>
      <c r="R7" s="1"/>
      <c r="S7" s="1"/>
      <c r="X7" s="1"/>
      <c r="AC7" s="1"/>
    </row>
    <row r="8" customFormat="false" ht="12.8" hidden="false" customHeight="false" outlineLevel="0" collapsed="false">
      <c r="A8" s="3"/>
      <c r="B8" s="1"/>
      <c r="C8" s="1"/>
      <c r="D8" s="1"/>
      <c r="E8" s="1"/>
      <c r="F8" s="1"/>
      <c r="G8" s="1"/>
      <c r="H8" s="1"/>
      <c r="I8" s="1"/>
      <c r="K8" s="1"/>
      <c r="L8" s="1"/>
      <c r="O8" s="1"/>
      <c r="P8" s="1"/>
      <c r="Q8" s="1"/>
      <c r="R8" s="1"/>
      <c r="S8" s="1"/>
      <c r="X8" s="1"/>
      <c r="AC8" s="1"/>
    </row>
    <row r="9" customFormat="false" ht="12.8" hidden="false" customHeight="false" outlineLevel="0" collapsed="false">
      <c r="A9" s="3"/>
      <c r="B9" s="1"/>
      <c r="C9" s="1"/>
      <c r="D9" s="1"/>
      <c r="E9" s="1"/>
      <c r="F9" s="1"/>
      <c r="G9" s="1"/>
      <c r="H9" s="1"/>
      <c r="I9" s="1"/>
      <c r="K9" s="1"/>
      <c r="L9" s="1"/>
      <c r="O9" s="1"/>
      <c r="P9" s="1"/>
      <c r="Q9" s="1"/>
      <c r="R9" s="1"/>
      <c r="S9" s="1"/>
      <c r="X9" s="1"/>
      <c r="AC9" s="1"/>
    </row>
    <row r="10" customFormat="false" ht="12.8" hidden="false" customHeight="false" outlineLevel="0" collapsed="false">
      <c r="A10" s="3"/>
      <c r="B10" s="1"/>
      <c r="C10" s="1"/>
      <c r="D10" s="1"/>
      <c r="E10" s="1"/>
      <c r="F10" s="1"/>
      <c r="G10" s="1"/>
      <c r="H10" s="1"/>
      <c r="I10" s="1"/>
      <c r="K10" s="1"/>
      <c r="L10" s="1"/>
      <c r="O10" s="1"/>
      <c r="P10" s="1"/>
      <c r="Q10" s="1"/>
      <c r="R10" s="1"/>
      <c r="S10" s="1"/>
      <c r="X10" s="1"/>
      <c r="AC10" s="1"/>
    </row>
    <row r="11" customFormat="false" ht="12.8" hidden="false" customHeight="false" outlineLevel="0" collapsed="false">
      <c r="A11" s="3"/>
      <c r="B11" s="1"/>
      <c r="C11" s="1"/>
      <c r="D11" s="1"/>
      <c r="E11" s="1"/>
      <c r="F11" s="1"/>
      <c r="G11" s="1"/>
      <c r="H11" s="1"/>
      <c r="I11" s="1"/>
      <c r="K11" s="1"/>
      <c r="L11" s="1"/>
      <c r="O11" s="1"/>
      <c r="P11" s="1"/>
      <c r="Q11" s="1"/>
      <c r="R11" s="1"/>
      <c r="S11" s="1"/>
      <c r="X11" s="1"/>
      <c r="AC11" s="1"/>
    </row>
    <row r="12" customFormat="false" ht="12.8" hidden="false" customHeight="false" outlineLevel="0" collapsed="false">
      <c r="A12" s="3"/>
      <c r="B12" s="1"/>
      <c r="C12" s="1"/>
      <c r="D12" s="1"/>
      <c r="E12" s="1"/>
      <c r="F12" s="1"/>
      <c r="G12" s="1"/>
      <c r="H12" s="1"/>
      <c r="I12" s="1"/>
      <c r="K12" s="1"/>
      <c r="L12" s="1"/>
      <c r="O12" s="1"/>
      <c r="P12" s="1"/>
      <c r="Q12" s="1"/>
      <c r="R12" s="1"/>
      <c r="S12" s="1"/>
      <c r="X12" s="1"/>
      <c r="AC12" s="1"/>
    </row>
    <row r="13" customFormat="false" ht="12.8" hidden="false" customHeight="false" outlineLevel="0" collapsed="false">
      <c r="A13" s="3"/>
      <c r="B13" s="1"/>
      <c r="C13" s="1"/>
      <c r="D13" s="1"/>
      <c r="E13" s="1"/>
      <c r="F13" s="1"/>
      <c r="G13" s="1"/>
      <c r="H13" s="1"/>
      <c r="I13" s="1"/>
      <c r="K13" s="1"/>
      <c r="L13" s="1"/>
      <c r="O13" s="1"/>
      <c r="P13" s="1"/>
      <c r="Q13" s="1"/>
      <c r="R13" s="1"/>
      <c r="S13" s="1"/>
      <c r="X13" s="1"/>
      <c r="AC13" s="1"/>
    </row>
    <row r="14" customFormat="false" ht="12.8" hidden="false" customHeight="false" outlineLevel="0" collapsed="false">
      <c r="A14" s="3"/>
      <c r="B14" s="1"/>
      <c r="C14" s="1"/>
      <c r="D14" s="1"/>
      <c r="E14" s="1"/>
      <c r="F14" s="1"/>
      <c r="G14" s="1"/>
      <c r="H14" s="1"/>
      <c r="I14" s="1"/>
      <c r="K14" s="1"/>
      <c r="L14" s="1"/>
      <c r="O14" s="1"/>
      <c r="P14" s="1"/>
      <c r="Q14" s="1"/>
      <c r="R14" s="1"/>
      <c r="S14" s="1"/>
      <c r="X14" s="1"/>
      <c r="AC14" s="1"/>
    </row>
    <row r="15" customFormat="false" ht="12.8" hidden="false" customHeight="false" outlineLevel="0" collapsed="false">
      <c r="A15" s="3"/>
      <c r="B15" s="1"/>
      <c r="C15" s="1"/>
      <c r="D15" s="1"/>
      <c r="E15" s="1"/>
      <c r="F15" s="1"/>
      <c r="G15" s="1"/>
      <c r="H15" s="1"/>
      <c r="I15" s="1"/>
      <c r="K15" s="1"/>
      <c r="L15" s="1"/>
      <c r="O15" s="1"/>
      <c r="P15" s="1"/>
      <c r="Q15" s="1"/>
      <c r="R15" s="1"/>
      <c r="S15" s="1"/>
      <c r="X15" s="1"/>
      <c r="AC15" s="1"/>
    </row>
    <row r="16" customFormat="false" ht="12.8" hidden="false" customHeight="false" outlineLevel="0" collapsed="false">
      <c r="A16" s="3"/>
      <c r="B16" s="1"/>
      <c r="C16" s="1"/>
      <c r="D16" s="1"/>
      <c r="E16" s="1"/>
      <c r="F16" s="1"/>
      <c r="G16" s="1"/>
      <c r="H16" s="1"/>
      <c r="I16" s="1"/>
      <c r="K16" s="1"/>
      <c r="L16" s="1"/>
      <c r="O16" s="1"/>
      <c r="P16" s="1"/>
      <c r="Q16" s="1"/>
      <c r="R16" s="1"/>
      <c r="S16" s="1"/>
      <c r="X16" s="1"/>
      <c r="AC16" s="1"/>
    </row>
    <row r="17" customFormat="false" ht="12.8" hidden="false" customHeight="false" outlineLevel="0" collapsed="false">
      <c r="A17" s="3"/>
      <c r="B17" s="1"/>
      <c r="C17" s="1"/>
      <c r="D17" s="1"/>
      <c r="E17" s="1"/>
      <c r="F17" s="1"/>
      <c r="G17" s="1"/>
      <c r="H17" s="1"/>
      <c r="I17" s="1"/>
      <c r="K17" s="1"/>
      <c r="L17" s="1"/>
      <c r="O17" s="1"/>
      <c r="P17" s="1"/>
      <c r="Q17" s="1"/>
      <c r="R17" s="1"/>
      <c r="S17" s="1"/>
      <c r="X17" s="1"/>
      <c r="AC17" s="1"/>
    </row>
    <row r="18" customFormat="false" ht="12.8" hidden="false" customHeight="false" outlineLevel="0" collapsed="false">
      <c r="A18" s="3"/>
      <c r="B18" s="1"/>
      <c r="C18" s="1"/>
      <c r="D18" s="1"/>
      <c r="E18" s="1"/>
      <c r="F18" s="1"/>
      <c r="G18" s="1"/>
      <c r="H18" s="1"/>
      <c r="I18" s="1"/>
      <c r="K18" s="1"/>
      <c r="L18" s="1"/>
      <c r="O18" s="1"/>
      <c r="P18" s="1"/>
      <c r="Q18" s="1"/>
      <c r="R18" s="1"/>
      <c r="S18" s="1"/>
      <c r="X18" s="1"/>
      <c r="AC18" s="1"/>
    </row>
    <row r="19" customFormat="false" ht="12.8" hidden="false" customHeight="false" outlineLevel="0" collapsed="false">
      <c r="A19" s="3"/>
      <c r="B19" s="1"/>
      <c r="C19" s="1"/>
      <c r="D19" s="1"/>
      <c r="E19" s="1"/>
      <c r="F19" s="1"/>
      <c r="G19" s="1"/>
      <c r="H19" s="1"/>
      <c r="I19" s="1"/>
      <c r="K19" s="1"/>
      <c r="L19" s="1"/>
      <c r="O19" s="1"/>
      <c r="P19" s="1"/>
      <c r="R19" s="1"/>
      <c r="S19" s="1"/>
      <c r="X19" s="1"/>
      <c r="AC19" s="1"/>
    </row>
    <row r="20" customFormat="false" ht="12.8" hidden="false" customHeight="false" outlineLevel="0" collapsed="false">
      <c r="A20" s="3"/>
      <c r="B20" s="1"/>
      <c r="C20" s="1"/>
      <c r="D20" s="1"/>
      <c r="E20" s="1"/>
      <c r="F20" s="1"/>
      <c r="G20" s="1"/>
      <c r="H20" s="1"/>
      <c r="I20" s="1"/>
      <c r="K20" s="1"/>
      <c r="L20" s="1"/>
      <c r="O20" s="1"/>
      <c r="P20" s="1"/>
      <c r="R20" s="1"/>
      <c r="S20" s="1"/>
      <c r="X20" s="1"/>
      <c r="AC20" s="1"/>
    </row>
    <row r="21" customFormat="false" ht="12.8" hidden="false" customHeight="false" outlineLevel="0" collapsed="false">
      <c r="A21" s="3"/>
      <c r="B21" s="1"/>
      <c r="C21" s="1"/>
      <c r="D21" s="1"/>
      <c r="E21" s="1"/>
      <c r="F21" s="1"/>
      <c r="G21" s="1"/>
      <c r="H21" s="1"/>
      <c r="I21" s="1"/>
      <c r="K21" s="1"/>
      <c r="L21" s="1"/>
      <c r="O21" s="1"/>
      <c r="P21" s="1"/>
      <c r="R21" s="1"/>
      <c r="S21" s="1"/>
      <c r="X21" s="1"/>
      <c r="AC21" s="1"/>
    </row>
    <row r="22" customFormat="false" ht="12.8" hidden="false" customHeight="false" outlineLevel="0" collapsed="false">
      <c r="A22" s="3"/>
      <c r="B22" s="1"/>
      <c r="C22" s="1"/>
      <c r="D22" s="1"/>
      <c r="E22" s="1"/>
      <c r="F22" s="1"/>
      <c r="G22" s="1"/>
      <c r="H22" s="1"/>
      <c r="I22" s="1"/>
      <c r="K22" s="1"/>
      <c r="L22" s="1"/>
      <c r="M22" s="1"/>
      <c r="N22" s="1"/>
      <c r="O22" s="1"/>
      <c r="P22" s="1"/>
      <c r="Q22" s="1"/>
      <c r="R22" s="1"/>
      <c r="S22" s="1"/>
      <c r="X22" s="1"/>
      <c r="AC22" s="1"/>
    </row>
    <row r="23" customFormat="false" ht="12.8" hidden="false" customHeight="false" outlineLevel="0" collapsed="false">
      <c r="A23" s="3"/>
      <c r="B23" s="1"/>
      <c r="C23" s="1"/>
      <c r="D23" s="1"/>
      <c r="E23" s="1"/>
      <c r="F23" s="1"/>
      <c r="G23" s="1"/>
      <c r="H23" s="1"/>
      <c r="I23" s="1"/>
      <c r="K23" s="1"/>
      <c r="L23" s="1"/>
      <c r="M23" s="1"/>
      <c r="N23" s="1"/>
      <c r="O23" s="1"/>
      <c r="P23" s="1"/>
      <c r="Q23" s="1"/>
      <c r="R23" s="1"/>
      <c r="S23" s="1"/>
      <c r="X23" s="1"/>
      <c r="AC23" s="1"/>
    </row>
    <row r="24" customFormat="false" ht="12.8" hidden="false" customHeight="false" outlineLevel="0" collapsed="false">
      <c r="A24" s="3"/>
      <c r="B24" s="1"/>
      <c r="C24" s="1"/>
      <c r="D24" s="1"/>
      <c r="E24" s="1"/>
      <c r="G24" s="1"/>
      <c r="H24" s="1"/>
      <c r="I24" s="1"/>
      <c r="K24" s="1"/>
      <c r="L24" s="1"/>
      <c r="N24" s="1"/>
      <c r="O24" s="1"/>
      <c r="P24" s="1"/>
      <c r="Q24" s="1"/>
      <c r="R24" s="1"/>
      <c r="S24" s="1"/>
      <c r="X24" s="1"/>
      <c r="Y24" s="1"/>
      <c r="AC24" s="1"/>
    </row>
    <row r="25" customFormat="false" ht="12.8" hidden="false" customHeight="false" outlineLevel="0" collapsed="false">
      <c r="A25" s="3"/>
      <c r="B25" s="1"/>
      <c r="C25" s="1"/>
      <c r="D25" s="1"/>
      <c r="E25" s="1"/>
      <c r="G25" s="1"/>
      <c r="H25" s="1"/>
      <c r="I25" s="1"/>
      <c r="K25" s="1"/>
      <c r="L25" s="1"/>
      <c r="N25" s="1"/>
      <c r="O25" s="1"/>
      <c r="P25" s="1"/>
      <c r="Q25" s="1"/>
      <c r="R25" s="1"/>
      <c r="S25" s="1"/>
      <c r="X25" s="1"/>
      <c r="Y25" s="1"/>
      <c r="AC25" s="1"/>
    </row>
    <row r="26" customFormat="false" ht="12.8" hidden="false" customHeight="false" outlineLevel="0" collapsed="false">
      <c r="A26" s="3"/>
      <c r="B26" s="1"/>
      <c r="C26" s="1"/>
      <c r="D26" s="1"/>
      <c r="E26" s="1"/>
      <c r="F26" s="1"/>
      <c r="G26" s="1"/>
      <c r="H26" s="1"/>
      <c r="I26" s="1"/>
      <c r="K26" s="1"/>
      <c r="L26" s="1"/>
      <c r="O26" s="1"/>
      <c r="P26" s="1"/>
      <c r="R26" s="1"/>
      <c r="S26" s="1"/>
      <c r="X26" s="1"/>
      <c r="Y26" s="1"/>
      <c r="AC26" s="1"/>
    </row>
    <row r="27" customFormat="false" ht="12.8" hidden="false" customHeight="false" outlineLevel="0" collapsed="false">
      <c r="A27" s="3"/>
      <c r="B27" s="1"/>
      <c r="C27" s="1"/>
      <c r="D27" s="1"/>
      <c r="E27" s="1"/>
      <c r="F27" s="1"/>
      <c r="G27" s="1"/>
      <c r="H27" s="1"/>
      <c r="I27" s="1"/>
      <c r="K27" s="1"/>
      <c r="L27" s="1"/>
      <c r="O27" s="1"/>
      <c r="P27" s="1"/>
      <c r="R27" s="1"/>
      <c r="S27" s="1"/>
      <c r="X27" s="1"/>
      <c r="Y27" s="1"/>
      <c r="AC27" s="1"/>
    </row>
    <row r="28" customFormat="false" ht="12.8" hidden="false" customHeight="false" outlineLevel="0" collapsed="false">
      <c r="A28" s="3"/>
      <c r="B28" s="1"/>
      <c r="C28" s="1"/>
      <c r="D28" s="1"/>
      <c r="E28" s="1"/>
      <c r="F28" s="1"/>
      <c r="G28" s="1"/>
      <c r="H28" s="1"/>
      <c r="I28" s="1"/>
      <c r="K28" s="1"/>
      <c r="L28" s="1"/>
      <c r="O28" s="1"/>
      <c r="P28" s="1"/>
      <c r="R28" s="1"/>
      <c r="S28" s="1"/>
      <c r="X28" s="1"/>
      <c r="Y28" s="1"/>
      <c r="AC28" s="1"/>
    </row>
    <row r="29" customFormat="false" ht="12.8" hidden="false" customHeight="false" outlineLevel="0" collapsed="false">
      <c r="A29" s="3"/>
      <c r="B29" s="1"/>
      <c r="C29" s="1"/>
      <c r="D29" s="1"/>
      <c r="E29" s="1"/>
      <c r="F29" s="1"/>
      <c r="G29" s="1"/>
      <c r="H29" s="1"/>
      <c r="I29" s="1"/>
      <c r="K29" s="1"/>
      <c r="L29" s="1"/>
      <c r="O29" s="1"/>
      <c r="P29" s="1"/>
      <c r="R29" s="1"/>
      <c r="S29" s="1"/>
      <c r="X29" s="1"/>
      <c r="Y29" s="1"/>
      <c r="AC29" s="1"/>
    </row>
    <row r="30" customFormat="false" ht="12.8" hidden="false" customHeight="false" outlineLevel="0" collapsed="false">
      <c r="A30" s="3"/>
      <c r="B30" s="1"/>
      <c r="C30" s="1"/>
      <c r="D30" s="1"/>
      <c r="E30" s="1"/>
      <c r="F30" s="1"/>
      <c r="G30" s="1"/>
      <c r="H30" s="1"/>
      <c r="I30" s="1"/>
      <c r="K30" s="1"/>
      <c r="L30" s="1"/>
      <c r="O30" s="1"/>
      <c r="P30" s="1"/>
      <c r="R30" s="1"/>
      <c r="S30" s="1"/>
      <c r="X30" s="1"/>
      <c r="Y30" s="1"/>
      <c r="AC30" s="1"/>
    </row>
    <row r="31" customFormat="false" ht="12.8" hidden="false" customHeight="false" outlineLevel="0" collapsed="false">
      <c r="A31" s="3"/>
      <c r="B31" s="1"/>
      <c r="C31" s="1"/>
      <c r="D31" s="1"/>
      <c r="E31" s="1"/>
      <c r="F31" s="1"/>
      <c r="G31" s="1"/>
      <c r="H31" s="1"/>
      <c r="I31" s="1"/>
      <c r="K31" s="1"/>
      <c r="L31" s="1"/>
      <c r="O31" s="1"/>
      <c r="P31" s="1"/>
      <c r="R31" s="1"/>
      <c r="S31" s="1"/>
      <c r="X31" s="1"/>
      <c r="Y31" s="1"/>
      <c r="AC31" s="1"/>
    </row>
    <row r="32" customFormat="false" ht="12.8" hidden="false" customHeight="false" outlineLevel="0" collapsed="false">
      <c r="A32" s="3"/>
      <c r="B32" s="1"/>
      <c r="C32" s="1"/>
      <c r="D32" s="1"/>
      <c r="E32" s="1"/>
      <c r="F32" s="1"/>
      <c r="G32" s="1"/>
      <c r="H32" s="1"/>
      <c r="I32" s="1"/>
      <c r="K32" s="1"/>
      <c r="L32" s="1"/>
      <c r="O32" s="1"/>
      <c r="P32" s="1"/>
      <c r="R32" s="1"/>
      <c r="S32" s="1"/>
      <c r="X32" s="1"/>
      <c r="Y32" s="1"/>
      <c r="AC32" s="1"/>
    </row>
    <row r="33" customFormat="false" ht="12.8" hidden="false" customHeight="false" outlineLevel="0" collapsed="false">
      <c r="A33" s="3"/>
      <c r="B33" s="1"/>
      <c r="C33" s="1"/>
      <c r="D33" s="1"/>
      <c r="E33" s="1"/>
      <c r="F33" s="1"/>
      <c r="G33" s="1"/>
      <c r="H33" s="1"/>
      <c r="I33" s="1"/>
      <c r="K33" s="1"/>
      <c r="L33" s="1"/>
      <c r="O33" s="1"/>
      <c r="P33" s="1"/>
      <c r="R33" s="1"/>
      <c r="S33" s="1"/>
      <c r="X33" s="1"/>
      <c r="Y33" s="1"/>
      <c r="AC33" s="1"/>
    </row>
    <row r="34" customFormat="false" ht="12.8" hidden="false" customHeight="false" outlineLevel="0" collapsed="false">
      <c r="A34" s="3"/>
      <c r="B34" s="1"/>
      <c r="C34" s="1"/>
      <c r="D34" s="1"/>
      <c r="E34" s="1"/>
      <c r="F34" s="1"/>
      <c r="G34" s="1"/>
      <c r="H34" s="1"/>
      <c r="I34" s="1"/>
      <c r="K34" s="1"/>
      <c r="L34" s="1"/>
      <c r="O34" s="1"/>
      <c r="P34" s="1"/>
      <c r="R34" s="1"/>
      <c r="S34" s="1"/>
      <c r="X34" s="1"/>
      <c r="Y34" s="1"/>
      <c r="AC34" s="1"/>
    </row>
    <row r="35" customFormat="false" ht="12.8" hidden="false" customHeight="false" outlineLevel="0" collapsed="false">
      <c r="A35" s="3"/>
      <c r="B35" s="1"/>
      <c r="C35" s="1"/>
      <c r="D35" s="1"/>
      <c r="E35" s="1"/>
      <c r="F35" s="1"/>
      <c r="G35" s="1"/>
      <c r="H35" s="1"/>
      <c r="I35" s="1"/>
      <c r="K35" s="1"/>
      <c r="L35" s="1"/>
      <c r="O35" s="1"/>
      <c r="P35" s="1"/>
      <c r="R35" s="1"/>
      <c r="S35" s="1"/>
      <c r="X35" s="1"/>
      <c r="Y35" s="1"/>
      <c r="AC35" s="1"/>
    </row>
    <row r="36" customFormat="false" ht="12.8" hidden="false" customHeight="false" outlineLevel="0" collapsed="false">
      <c r="A36" s="3"/>
      <c r="B36" s="1"/>
      <c r="C36" s="1"/>
      <c r="D36" s="1"/>
      <c r="E36" s="1"/>
      <c r="F36" s="1"/>
      <c r="G36" s="1"/>
      <c r="H36" s="1"/>
      <c r="I36" s="1"/>
      <c r="K36" s="1"/>
      <c r="L36" s="1"/>
      <c r="O36" s="1"/>
      <c r="P36" s="1"/>
      <c r="R36" s="1"/>
      <c r="S36" s="1"/>
      <c r="X36" s="1"/>
      <c r="Y36" s="1"/>
      <c r="AC36" s="1"/>
    </row>
    <row r="37" customFormat="false" ht="12.8" hidden="false" customHeight="false" outlineLevel="0" collapsed="false">
      <c r="A37" s="3"/>
      <c r="B37" s="1"/>
      <c r="C37" s="1"/>
      <c r="D37" s="1"/>
      <c r="E37" s="1"/>
      <c r="F37" s="1"/>
      <c r="G37" s="1"/>
      <c r="H37" s="1"/>
      <c r="I37" s="1"/>
      <c r="K37" s="1"/>
      <c r="L37" s="1"/>
      <c r="O37" s="1"/>
      <c r="P37" s="1"/>
      <c r="R37" s="1"/>
      <c r="S37" s="1"/>
      <c r="X37" s="1"/>
      <c r="Y37" s="1"/>
      <c r="AC37" s="1"/>
    </row>
    <row r="38" customFormat="false" ht="12.8" hidden="false" customHeight="false" outlineLevel="0" collapsed="false">
      <c r="A38" s="3"/>
      <c r="B38" s="1"/>
      <c r="C38" s="1"/>
      <c r="D38" s="1"/>
      <c r="E38" s="1"/>
      <c r="F38" s="1"/>
      <c r="G38" s="1"/>
      <c r="H38" s="1"/>
      <c r="I38" s="1"/>
      <c r="K38" s="1"/>
      <c r="L38" s="1"/>
      <c r="O38" s="1"/>
      <c r="P38" s="1"/>
      <c r="R38" s="1"/>
      <c r="S38" s="1"/>
      <c r="X38" s="1"/>
      <c r="Y38" s="1"/>
      <c r="AC38" s="1"/>
    </row>
    <row r="39" customFormat="false" ht="12.8" hidden="false" customHeight="false" outlineLevel="0" collapsed="false">
      <c r="A39" s="3"/>
      <c r="B39" s="1"/>
      <c r="C39" s="1"/>
      <c r="D39" s="1"/>
      <c r="E39" s="1"/>
      <c r="F39" s="1"/>
      <c r="G39" s="1"/>
      <c r="H39" s="1"/>
      <c r="I39" s="1"/>
      <c r="K39" s="1"/>
      <c r="L39" s="1"/>
      <c r="O39" s="1"/>
      <c r="P39" s="1"/>
      <c r="R39" s="1"/>
      <c r="S39" s="1"/>
      <c r="X39" s="1"/>
      <c r="Y39" s="1"/>
      <c r="AC39" s="1"/>
    </row>
    <row r="40" customFormat="false" ht="12.8" hidden="false" customHeight="false" outlineLevel="0" collapsed="false">
      <c r="A40" s="3"/>
      <c r="B40" s="1"/>
      <c r="C40" s="1"/>
      <c r="D40" s="1"/>
      <c r="E40" s="1"/>
      <c r="F40" s="1"/>
      <c r="G40" s="1"/>
      <c r="H40" s="1"/>
      <c r="I40" s="1"/>
      <c r="K40" s="1"/>
      <c r="L40" s="1"/>
      <c r="O40" s="1"/>
      <c r="P40" s="1"/>
      <c r="R40" s="1"/>
      <c r="S40" s="1"/>
      <c r="X40" s="1"/>
      <c r="Y40" s="1"/>
      <c r="AC40" s="1"/>
    </row>
    <row r="41" customFormat="false" ht="12.8" hidden="false" customHeight="false" outlineLevel="0" collapsed="false">
      <c r="A41" s="3"/>
      <c r="B41" s="1"/>
      <c r="C41" s="1"/>
      <c r="D41" s="1"/>
      <c r="E41" s="1"/>
      <c r="F41" s="1"/>
      <c r="G41" s="1"/>
      <c r="H41" s="1"/>
      <c r="I41" s="1"/>
      <c r="K41" s="1"/>
      <c r="L41" s="1"/>
      <c r="O41" s="1"/>
      <c r="P41" s="1"/>
      <c r="R41" s="1"/>
      <c r="S41" s="1"/>
      <c r="X41" s="1"/>
      <c r="Y41" s="1"/>
      <c r="AC41" s="1"/>
    </row>
    <row r="42" customFormat="false" ht="12.8" hidden="false" customHeight="false" outlineLevel="0" collapsed="false">
      <c r="A42" s="3"/>
      <c r="B42" s="1"/>
      <c r="C42" s="1"/>
      <c r="D42" s="1"/>
      <c r="E42" s="1"/>
      <c r="F42" s="1"/>
      <c r="G42" s="1"/>
      <c r="H42" s="1"/>
      <c r="I42" s="1"/>
      <c r="K42" s="1"/>
      <c r="L42" s="1"/>
      <c r="O42" s="1"/>
      <c r="P42" s="1"/>
      <c r="R42" s="1"/>
      <c r="S42" s="1"/>
      <c r="X42" s="1"/>
      <c r="Y42" s="1"/>
      <c r="AC42" s="1"/>
    </row>
    <row r="43" customFormat="false" ht="12.8" hidden="false" customHeight="false" outlineLevel="0" collapsed="false">
      <c r="A43" s="3"/>
      <c r="B43" s="1"/>
      <c r="C43" s="1"/>
      <c r="D43" s="1"/>
      <c r="E43" s="1"/>
      <c r="F43" s="1"/>
      <c r="G43" s="1"/>
      <c r="H43" s="1"/>
      <c r="I43" s="1"/>
      <c r="K43" s="1"/>
      <c r="L43" s="1"/>
      <c r="O43" s="1"/>
      <c r="P43" s="1"/>
      <c r="R43" s="1"/>
      <c r="S43" s="1"/>
      <c r="X43" s="1"/>
      <c r="AC43" s="1"/>
    </row>
    <row r="44" customFormat="false" ht="12.8" hidden="false" customHeight="false" outlineLevel="0" collapsed="false">
      <c r="A44" s="3"/>
      <c r="B44" s="1"/>
      <c r="C44" s="1"/>
      <c r="D44" s="1"/>
      <c r="E44" s="1"/>
      <c r="F44" s="1"/>
      <c r="G44" s="1"/>
      <c r="H44" s="1"/>
      <c r="I44" s="1"/>
      <c r="K44" s="1"/>
      <c r="L44" s="1"/>
      <c r="O44" s="1"/>
      <c r="P44" s="1"/>
      <c r="R44" s="1"/>
      <c r="S44" s="1"/>
      <c r="X44" s="1"/>
      <c r="Y44" s="1"/>
      <c r="AC44" s="1"/>
    </row>
    <row r="45" customFormat="false" ht="12.8" hidden="false" customHeight="false" outlineLevel="0" collapsed="false">
      <c r="A45" s="3"/>
      <c r="B45" s="1"/>
      <c r="C45" s="1"/>
      <c r="D45" s="1"/>
      <c r="E45" s="1"/>
      <c r="F45" s="1"/>
      <c r="G45" s="1"/>
      <c r="H45" s="1"/>
      <c r="I45" s="1"/>
      <c r="K45" s="1"/>
      <c r="L45" s="1"/>
      <c r="O45" s="1"/>
      <c r="P45" s="1"/>
      <c r="Q45" s="1"/>
      <c r="R45" s="1"/>
      <c r="S45" s="1"/>
      <c r="X45" s="1"/>
      <c r="AB45" s="1"/>
      <c r="AC45" s="1"/>
    </row>
    <row r="46" customFormat="false" ht="12.8" hidden="false" customHeight="false" outlineLevel="0" collapsed="false">
      <c r="A46" s="3"/>
      <c r="B46" s="1"/>
      <c r="C46" s="1"/>
      <c r="D46" s="1"/>
      <c r="E46" s="1"/>
      <c r="F46" s="1"/>
      <c r="G46" s="1"/>
      <c r="H46" s="1"/>
      <c r="I46" s="1"/>
      <c r="K46" s="1"/>
      <c r="L46" s="1"/>
      <c r="O46" s="1"/>
      <c r="P46" s="1"/>
      <c r="Q46" s="1"/>
      <c r="R46" s="1"/>
      <c r="S46" s="1"/>
      <c r="X46" s="1"/>
      <c r="AB46" s="1"/>
      <c r="AC46" s="1"/>
    </row>
    <row r="47" customFormat="false" ht="12.8" hidden="false" customHeight="false" outlineLevel="0" collapsed="false">
      <c r="A47" s="3"/>
      <c r="B47" s="1"/>
      <c r="C47" s="1"/>
      <c r="D47" s="1"/>
      <c r="E47" s="1"/>
      <c r="F47" s="1"/>
      <c r="G47" s="1"/>
      <c r="H47" s="1"/>
      <c r="I47" s="1"/>
      <c r="K47" s="1"/>
      <c r="L47" s="1"/>
      <c r="O47" s="1"/>
      <c r="P47" s="1"/>
      <c r="Q47" s="1"/>
      <c r="R47" s="1"/>
      <c r="S47" s="1"/>
      <c r="X47" s="1"/>
      <c r="AC47" s="1"/>
    </row>
    <row r="48" customFormat="false" ht="12.8" hidden="false" customHeight="false" outlineLevel="0" collapsed="false">
      <c r="A48" s="3"/>
      <c r="B48" s="1"/>
      <c r="C48" s="1"/>
      <c r="D48" s="1"/>
      <c r="E48" s="1"/>
      <c r="F48" s="1"/>
      <c r="G48" s="1"/>
      <c r="H48" s="1"/>
      <c r="I48" s="1"/>
      <c r="K48" s="1"/>
      <c r="L48" s="1"/>
      <c r="O48" s="1"/>
      <c r="P48" s="1"/>
      <c r="Q48" s="1"/>
      <c r="R48" s="1"/>
      <c r="S48" s="1"/>
      <c r="X48" s="1"/>
      <c r="AB48" s="1"/>
      <c r="AC48" s="1"/>
    </row>
    <row r="49" customFormat="false" ht="12.8" hidden="false" customHeight="false" outlineLevel="0" collapsed="false">
      <c r="A49" s="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O49" s="1"/>
      <c r="P49" s="1"/>
      <c r="Q49" s="1"/>
      <c r="R49" s="1"/>
      <c r="S49" s="1"/>
      <c r="X49" s="1"/>
      <c r="Y49" s="1"/>
      <c r="AC49" s="1"/>
    </row>
    <row r="50" customFormat="false" ht="12.8" hidden="false" customHeight="false" outlineLevel="0" collapsed="false">
      <c r="A50" s="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O50" s="1"/>
      <c r="P50" s="1"/>
      <c r="Q50" s="1"/>
      <c r="R50" s="1"/>
      <c r="S50" s="1"/>
      <c r="X50" s="1"/>
      <c r="Y50" s="1"/>
      <c r="AC50" s="1"/>
    </row>
    <row r="51" customFormat="false" ht="12.8" hidden="false" customHeight="false" outlineLevel="0" collapsed="false">
      <c r="A51" s="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O51" s="1"/>
      <c r="P51" s="1"/>
      <c r="Q51" s="1"/>
      <c r="R51" s="1"/>
      <c r="S51" s="1"/>
      <c r="X51" s="1"/>
      <c r="Y51" s="1"/>
      <c r="AC51" s="1"/>
    </row>
    <row r="52" customFormat="false" ht="12.8" hidden="false" customHeight="false" outlineLevel="0" collapsed="false">
      <c r="A52" s="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O52" s="1"/>
      <c r="P52" s="1"/>
      <c r="Q52" s="1"/>
      <c r="R52" s="1"/>
      <c r="S52" s="1"/>
      <c r="X52" s="1"/>
      <c r="Y52" s="1"/>
      <c r="AC52" s="1"/>
    </row>
    <row r="53" customFormat="false" ht="12.8" hidden="false" customHeight="false" outlineLevel="0" collapsed="false">
      <c r="A53" s="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O53" s="1"/>
      <c r="P53" s="1"/>
      <c r="Q53" s="1"/>
      <c r="R53" s="1"/>
      <c r="S53" s="1"/>
      <c r="X53" s="1"/>
      <c r="Y53" s="1"/>
      <c r="AC53" s="1"/>
    </row>
    <row r="54" customFormat="false" ht="12.8" hidden="false" customHeight="false" outlineLevel="0" collapsed="false">
      <c r="A54" s="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N54" s="1"/>
      <c r="O54" s="1"/>
      <c r="P54" s="1"/>
      <c r="Q54" s="1"/>
      <c r="R54" s="1"/>
      <c r="S54" s="1"/>
      <c r="X54" s="1"/>
      <c r="Y54" s="1"/>
      <c r="AC54" s="1"/>
    </row>
    <row r="55" customFormat="false" ht="12.8" hidden="false" customHeight="false" outlineLevel="0" collapsed="false">
      <c r="A55" s="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N55" s="1"/>
      <c r="O55" s="1"/>
      <c r="P55" s="1"/>
      <c r="Q55" s="1"/>
      <c r="R55" s="1"/>
      <c r="S55" s="1"/>
      <c r="X55" s="1"/>
      <c r="Y55" s="1"/>
      <c r="AC55" s="1"/>
    </row>
    <row r="56" customFormat="false" ht="12.8" hidden="false" customHeight="false" outlineLevel="0" collapsed="false">
      <c r="A56" s="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O56" s="1"/>
      <c r="P56" s="1"/>
      <c r="Q56" s="1"/>
      <c r="R56" s="1"/>
      <c r="S56" s="1"/>
      <c r="X56" s="1"/>
      <c r="Y56" s="1"/>
      <c r="AC56" s="1"/>
    </row>
    <row r="57" customFormat="false" ht="12.8" hidden="false" customHeight="false" outlineLevel="0" collapsed="false">
      <c r="A57" s="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O57" s="1"/>
      <c r="P57" s="1"/>
      <c r="Q57" s="1"/>
      <c r="R57" s="1"/>
      <c r="S57" s="1"/>
      <c r="X57" s="1"/>
      <c r="Y57" s="1"/>
      <c r="AC57" s="1"/>
    </row>
    <row r="58" customFormat="false" ht="12.8" hidden="false" customHeight="false" outlineLevel="0" collapsed="false">
      <c r="A58" s="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O58" s="1"/>
      <c r="P58" s="1"/>
      <c r="Q58" s="1"/>
      <c r="R58" s="1"/>
      <c r="S58" s="1"/>
      <c r="X58" s="1"/>
      <c r="Y58" s="1"/>
      <c r="AC58" s="1"/>
    </row>
    <row r="59" customFormat="false" ht="12.8" hidden="false" customHeight="false" outlineLevel="0" collapsed="false">
      <c r="A59" s="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O59" s="1"/>
      <c r="P59" s="1"/>
      <c r="Q59" s="1"/>
      <c r="R59" s="1"/>
      <c r="S59" s="1"/>
      <c r="X59" s="1"/>
      <c r="Y59" s="1"/>
      <c r="AC59" s="1"/>
    </row>
    <row r="60" customFormat="false" ht="12.8" hidden="false" customHeight="false" outlineLevel="0" collapsed="false">
      <c r="A60" s="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O60" s="1"/>
      <c r="P60" s="1"/>
      <c r="Q60" s="1"/>
      <c r="R60" s="1"/>
      <c r="S60" s="1"/>
      <c r="X60" s="1"/>
      <c r="Y60" s="1"/>
      <c r="AC60" s="1"/>
    </row>
    <row r="61" customFormat="false" ht="12.8" hidden="false" customHeight="false" outlineLevel="0" collapsed="false">
      <c r="A61" s="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O61" s="1"/>
      <c r="P61" s="1"/>
      <c r="Q61" s="1"/>
      <c r="R61" s="1"/>
      <c r="S61" s="1"/>
      <c r="X61" s="1"/>
      <c r="Y61" s="1"/>
      <c r="AC61" s="1"/>
    </row>
    <row r="62" customFormat="false" ht="12.8" hidden="false" customHeight="false" outlineLevel="0" collapsed="false">
      <c r="A62" s="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O62" s="1"/>
      <c r="P62" s="1"/>
      <c r="Q62" s="1"/>
      <c r="R62" s="1"/>
      <c r="S62" s="1"/>
      <c r="X62" s="1"/>
      <c r="Y62" s="1"/>
      <c r="AC62" s="1"/>
    </row>
    <row r="63" customFormat="false" ht="12.8" hidden="false" customHeight="false" outlineLevel="0" collapsed="false">
      <c r="A63" s="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O63" s="1"/>
      <c r="P63" s="1"/>
      <c r="Q63" s="1"/>
      <c r="R63" s="1"/>
      <c r="S63" s="1"/>
      <c r="X63" s="1"/>
      <c r="Y63" s="1"/>
      <c r="AC63" s="1"/>
    </row>
    <row r="64" customFormat="false" ht="12.8" hidden="false" customHeight="false" outlineLevel="0" collapsed="false">
      <c r="A64" s="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O64" s="1"/>
      <c r="P64" s="1"/>
      <c r="Q64" s="1"/>
      <c r="R64" s="1"/>
      <c r="S64" s="1"/>
      <c r="X64" s="1"/>
      <c r="Y64" s="1"/>
      <c r="AC64" s="1"/>
    </row>
    <row r="65" customFormat="false" ht="12.8" hidden="false" customHeight="false" outlineLevel="0" collapsed="false">
      <c r="A65" s="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O65" s="1"/>
      <c r="P65" s="1"/>
      <c r="Q65" s="1"/>
      <c r="R65" s="1"/>
      <c r="S65" s="1"/>
      <c r="X65" s="1"/>
      <c r="Y65" s="1"/>
      <c r="AC65" s="1"/>
    </row>
    <row r="66" customFormat="false" ht="12.8" hidden="false" customHeight="false" outlineLevel="0" collapsed="false">
      <c r="A66" s="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O66" s="1"/>
      <c r="P66" s="1"/>
      <c r="Q66" s="1"/>
      <c r="R66" s="1"/>
      <c r="S66" s="1"/>
      <c r="X66" s="1"/>
      <c r="Y66" s="1"/>
      <c r="AC66" s="1"/>
    </row>
    <row r="67" customFormat="false" ht="12.8" hidden="false" customHeight="false" outlineLevel="0" collapsed="false">
      <c r="A67" s="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O67" s="1"/>
      <c r="P67" s="1"/>
      <c r="Q67" s="1"/>
      <c r="R67" s="1"/>
      <c r="S67" s="1"/>
      <c r="X67" s="1"/>
      <c r="Y67" s="1"/>
      <c r="AC67" s="1"/>
    </row>
    <row r="68" customFormat="false" ht="12.8" hidden="false" customHeight="false" outlineLevel="0" collapsed="false">
      <c r="A68" s="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O68" s="1"/>
      <c r="P68" s="1"/>
      <c r="Q68" s="1"/>
      <c r="R68" s="1"/>
      <c r="S68" s="1"/>
      <c r="X68" s="1"/>
      <c r="Y68" s="1"/>
      <c r="AC68" s="1"/>
    </row>
    <row r="69" customFormat="false" ht="12.8" hidden="false" customHeight="false" outlineLevel="0" collapsed="false">
      <c r="A69" s="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N69" s="1"/>
      <c r="O69" s="1"/>
      <c r="P69" s="1"/>
      <c r="Q69" s="1"/>
      <c r="R69" s="1"/>
      <c r="S69" s="1"/>
      <c r="X69" s="1"/>
      <c r="AC69" s="1"/>
    </row>
    <row r="70" customFormat="false" ht="12.8" hidden="false" customHeight="false" outlineLevel="0" collapsed="false">
      <c r="A70" s="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N70" s="1"/>
      <c r="O70" s="1"/>
      <c r="P70" s="1"/>
      <c r="Q70" s="1"/>
      <c r="R70" s="1"/>
      <c r="S70" s="1"/>
      <c r="X70" s="1"/>
      <c r="AC70" s="1"/>
    </row>
    <row r="71" customFormat="false" ht="12.8" hidden="false" customHeight="false" outlineLevel="0" collapsed="false">
      <c r="A71" s="3"/>
      <c r="B71" s="1"/>
      <c r="C71" s="1"/>
      <c r="D71" s="1"/>
      <c r="E71" s="1"/>
      <c r="F71" s="1"/>
      <c r="G71" s="1"/>
      <c r="H71" s="1"/>
      <c r="I71" s="1"/>
      <c r="K71" s="1"/>
      <c r="L71" s="1"/>
      <c r="O71" s="1"/>
      <c r="P71" s="1"/>
      <c r="Q71" s="1"/>
      <c r="R71" s="1"/>
      <c r="S71" s="1"/>
      <c r="X71" s="1"/>
      <c r="AB71" s="1"/>
      <c r="AC71" s="1"/>
    </row>
    <row r="72" customFormat="false" ht="12.8" hidden="false" customHeight="false" outlineLevel="0" collapsed="false">
      <c r="A72" s="3"/>
      <c r="B72" s="1"/>
      <c r="C72" s="1"/>
      <c r="D72" s="1"/>
      <c r="E72" s="1"/>
      <c r="F72" s="1"/>
      <c r="G72" s="1"/>
      <c r="H72" s="1"/>
      <c r="I72" s="1"/>
      <c r="K72" s="1"/>
      <c r="L72" s="1"/>
      <c r="O72" s="1"/>
      <c r="P72" s="1"/>
      <c r="Q72" s="1"/>
      <c r="R72" s="1"/>
      <c r="S72" s="1"/>
      <c r="X72" s="1"/>
      <c r="AB72" s="1"/>
      <c r="AC72" s="1"/>
    </row>
    <row r="73" customFormat="false" ht="12.8" hidden="false" customHeight="false" outlineLevel="0" collapsed="false">
      <c r="A73" s="3"/>
      <c r="B73" s="1"/>
      <c r="C73" s="1"/>
      <c r="D73" s="1"/>
      <c r="E73" s="1"/>
      <c r="F73" s="1"/>
      <c r="G73" s="1"/>
      <c r="H73" s="1"/>
      <c r="I73" s="1"/>
      <c r="K73" s="1"/>
      <c r="L73" s="1"/>
      <c r="O73" s="1"/>
      <c r="P73" s="1"/>
      <c r="Q73" s="1"/>
      <c r="R73" s="1"/>
      <c r="S73" s="1"/>
      <c r="X73" s="1"/>
      <c r="AB73" s="1"/>
      <c r="AC73" s="1"/>
    </row>
    <row r="74" customFormat="false" ht="12.8" hidden="false" customHeight="false" outlineLevel="0" collapsed="false">
      <c r="A74" s="3"/>
      <c r="B74" s="1"/>
      <c r="C74" s="1"/>
      <c r="D74" s="1"/>
      <c r="E74" s="1"/>
      <c r="F74" s="1"/>
      <c r="G74" s="1"/>
      <c r="H74" s="1"/>
      <c r="I74" s="1"/>
      <c r="K74" s="1"/>
      <c r="L74" s="1"/>
      <c r="O74" s="1"/>
      <c r="P74" s="1"/>
      <c r="Q74" s="1"/>
      <c r="R74" s="1"/>
      <c r="S74" s="1"/>
      <c r="X74" s="1"/>
      <c r="AB74" s="1"/>
      <c r="AC74" s="1"/>
    </row>
    <row r="75" customFormat="false" ht="12.8" hidden="false" customHeight="false" outlineLevel="0" collapsed="false">
      <c r="A75" s="3"/>
      <c r="B75" s="1"/>
      <c r="C75" s="1"/>
      <c r="D75" s="1"/>
      <c r="E75" s="1"/>
      <c r="F75" s="1"/>
      <c r="G75" s="1"/>
      <c r="H75" s="1"/>
      <c r="I75" s="1"/>
      <c r="K75" s="1"/>
      <c r="L75" s="1"/>
      <c r="O75" s="1"/>
      <c r="P75" s="1"/>
      <c r="Q75" s="1"/>
      <c r="R75" s="1"/>
      <c r="S75" s="1"/>
      <c r="X75" s="1"/>
      <c r="Y75" s="1"/>
      <c r="AB75" s="1"/>
      <c r="AC75" s="1"/>
    </row>
    <row r="76" customFormat="false" ht="12.8" hidden="false" customHeight="false" outlineLevel="0" collapsed="false">
      <c r="A76" s="3"/>
      <c r="B76" s="1"/>
      <c r="C76" s="1"/>
      <c r="D76" s="1"/>
      <c r="E76" s="1"/>
      <c r="F76" s="1"/>
      <c r="G76" s="1"/>
      <c r="H76" s="1"/>
      <c r="I76" s="1"/>
      <c r="K76" s="1"/>
      <c r="L76" s="1"/>
      <c r="O76" s="1"/>
      <c r="P76" s="1"/>
      <c r="Q76" s="1"/>
      <c r="R76" s="1"/>
      <c r="S76" s="1"/>
      <c r="X76" s="1"/>
      <c r="AB76" s="1"/>
      <c r="AC76" s="1"/>
    </row>
    <row r="77" customFormat="false" ht="12.8" hidden="false" customHeight="false" outlineLevel="0" collapsed="false">
      <c r="A77" s="3"/>
      <c r="B77" s="1"/>
      <c r="C77" s="1"/>
      <c r="D77" s="1"/>
      <c r="E77" s="1"/>
      <c r="F77" s="1"/>
      <c r="G77" s="1"/>
      <c r="H77" s="1"/>
      <c r="I77" s="1"/>
      <c r="K77" s="1"/>
      <c r="L77" s="1"/>
      <c r="O77" s="1"/>
      <c r="P77" s="1"/>
      <c r="Q77" s="1"/>
      <c r="R77" s="1"/>
      <c r="S77" s="1"/>
      <c r="X77" s="1"/>
      <c r="AB77" s="1"/>
      <c r="AC77" s="1"/>
    </row>
    <row r="78" customFormat="false" ht="12.8" hidden="false" customHeight="false" outlineLevel="0" collapsed="false">
      <c r="A78" s="3"/>
      <c r="B78" s="1"/>
      <c r="C78" s="1"/>
      <c r="D78" s="1"/>
      <c r="E78" s="1"/>
      <c r="F78" s="1"/>
      <c r="G78" s="1"/>
      <c r="H78" s="1"/>
      <c r="I78" s="1"/>
      <c r="K78" s="1"/>
      <c r="L78" s="1"/>
      <c r="O78" s="1"/>
      <c r="P78" s="1"/>
      <c r="Q78" s="1"/>
      <c r="R78" s="1"/>
      <c r="S78" s="1"/>
      <c r="X78" s="1"/>
      <c r="AB78" s="1"/>
      <c r="AC78" s="1"/>
    </row>
    <row r="79" customFormat="false" ht="12.8" hidden="false" customHeight="false" outlineLevel="0" collapsed="false">
      <c r="A79" s="3"/>
      <c r="B79" s="1"/>
      <c r="C79" s="1"/>
      <c r="D79" s="1"/>
      <c r="E79" s="1"/>
      <c r="F79" s="1"/>
      <c r="G79" s="1"/>
      <c r="H79" s="1"/>
      <c r="I79" s="1"/>
      <c r="K79" s="1"/>
      <c r="L79" s="1"/>
      <c r="O79" s="1"/>
      <c r="P79" s="1"/>
      <c r="Q79" s="1"/>
      <c r="R79" s="1"/>
      <c r="S79" s="1"/>
      <c r="X79" s="1"/>
      <c r="AB79" s="1"/>
      <c r="AC79" s="1"/>
    </row>
    <row r="80" customFormat="false" ht="12.8" hidden="false" customHeight="false" outlineLevel="0" collapsed="false">
      <c r="A80" s="3"/>
      <c r="B80" s="1"/>
      <c r="C80" s="1"/>
      <c r="D80" s="1"/>
      <c r="E80" s="1"/>
      <c r="F80" s="1"/>
      <c r="G80" s="1"/>
      <c r="H80" s="1"/>
      <c r="I80" s="1"/>
      <c r="K80" s="1"/>
      <c r="L80" s="1"/>
      <c r="O80" s="1"/>
      <c r="P80" s="1"/>
      <c r="Q80" s="1"/>
      <c r="R80" s="1"/>
      <c r="S80" s="1"/>
      <c r="X80" s="1"/>
      <c r="AB80" s="1"/>
      <c r="AC80" s="1"/>
    </row>
    <row r="81" customFormat="false" ht="12.8" hidden="false" customHeight="false" outlineLevel="0" collapsed="false">
      <c r="A81" s="3"/>
      <c r="B81" s="1"/>
      <c r="C81" s="1"/>
      <c r="D81" s="1"/>
      <c r="E81" s="1"/>
      <c r="F81" s="1"/>
      <c r="G81" s="1"/>
      <c r="H81" s="1"/>
      <c r="I81" s="1"/>
      <c r="K81" s="1"/>
      <c r="L81" s="1"/>
      <c r="O81" s="1"/>
      <c r="P81" s="1"/>
      <c r="Q81" s="1"/>
      <c r="R81" s="1"/>
      <c r="S81" s="1"/>
      <c r="X81" s="1"/>
      <c r="AB81" s="1"/>
      <c r="AC81" s="1"/>
    </row>
    <row r="82" customFormat="false" ht="12.8" hidden="false" customHeight="false" outlineLevel="0" collapsed="false">
      <c r="A82" s="3"/>
      <c r="B82" s="1"/>
      <c r="C82" s="1"/>
      <c r="D82" s="1"/>
      <c r="E82" s="1"/>
      <c r="F82" s="1"/>
      <c r="G82" s="1"/>
      <c r="H82" s="1"/>
      <c r="I82" s="1"/>
      <c r="K82" s="1"/>
      <c r="L82" s="1"/>
      <c r="O82" s="1"/>
      <c r="P82" s="1"/>
      <c r="Q82" s="1"/>
      <c r="R82" s="1"/>
      <c r="S82" s="1"/>
      <c r="X82" s="1"/>
      <c r="Y82" s="1"/>
      <c r="AC82" s="1"/>
    </row>
    <row r="83" customFormat="false" ht="12.8" hidden="false" customHeight="false" outlineLevel="0" collapsed="false">
      <c r="A83" s="3"/>
      <c r="B83" s="1"/>
      <c r="C83" s="1"/>
      <c r="D83" s="1"/>
      <c r="E83" s="1"/>
      <c r="F83" s="1"/>
      <c r="G83" s="1"/>
      <c r="H83" s="1"/>
      <c r="I83" s="1"/>
      <c r="K83" s="1"/>
      <c r="L83" s="1"/>
      <c r="O83" s="1"/>
      <c r="P83" s="1"/>
      <c r="Q83" s="1"/>
      <c r="R83" s="1"/>
      <c r="S83" s="1"/>
      <c r="X83" s="1"/>
      <c r="Y83" s="1"/>
      <c r="AC83" s="1"/>
    </row>
    <row r="84" customFormat="false" ht="12.8" hidden="false" customHeight="false" outlineLevel="0" collapsed="false">
      <c r="A84" s="3"/>
      <c r="B84" s="1"/>
      <c r="C84" s="1"/>
      <c r="D84" s="1"/>
      <c r="E84" s="1"/>
      <c r="F84" s="1"/>
      <c r="G84" s="1"/>
      <c r="H84" s="1"/>
      <c r="I84" s="1"/>
      <c r="K84" s="1"/>
      <c r="L84" s="1"/>
      <c r="O84" s="1"/>
      <c r="P84" s="1"/>
      <c r="Q84" s="1"/>
      <c r="R84" s="1"/>
      <c r="S84" s="1"/>
      <c r="X84" s="1"/>
      <c r="Y84" s="1"/>
      <c r="AC84" s="1"/>
    </row>
    <row r="85" customFormat="false" ht="12.8" hidden="false" customHeight="false" outlineLevel="0" collapsed="false">
      <c r="A85" s="3"/>
      <c r="B85" s="1"/>
      <c r="C85" s="1"/>
      <c r="D85" s="1"/>
      <c r="E85" s="1"/>
      <c r="F85" s="1"/>
      <c r="G85" s="1"/>
      <c r="H85" s="1"/>
      <c r="I85" s="1"/>
      <c r="K85" s="1"/>
      <c r="L85" s="1"/>
      <c r="O85" s="1"/>
      <c r="P85" s="1"/>
      <c r="Q85" s="1"/>
      <c r="R85" s="1"/>
      <c r="S85" s="1"/>
      <c r="X85" s="1"/>
      <c r="Y85" s="1"/>
      <c r="AC85" s="1"/>
    </row>
    <row r="86" customFormat="false" ht="12.8" hidden="false" customHeight="false" outlineLevel="0" collapsed="false">
      <c r="A86" s="3"/>
      <c r="B86" s="1"/>
      <c r="C86" s="1"/>
      <c r="D86" s="1"/>
      <c r="E86" s="1"/>
      <c r="F86" s="1"/>
      <c r="G86" s="1"/>
      <c r="H86" s="1"/>
      <c r="I86" s="1"/>
      <c r="K86" s="1"/>
      <c r="L86" s="1"/>
      <c r="O86" s="1"/>
      <c r="P86" s="1"/>
      <c r="Q86" s="1"/>
      <c r="R86" s="1"/>
      <c r="S86" s="1"/>
      <c r="X86" s="1"/>
      <c r="Y86" s="1"/>
      <c r="AC86" s="1"/>
    </row>
    <row r="87" customFormat="false" ht="12.8" hidden="false" customHeight="false" outlineLevel="0" collapsed="false">
      <c r="A87" s="3"/>
      <c r="B87" s="1"/>
      <c r="C87" s="1"/>
      <c r="D87" s="1"/>
      <c r="E87" s="1"/>
      <c r="F87" s="1"/>
      <c r="G87" s="1"/>
      <c r="H87" s="1"/>
      <c r="I87" s="1"/>
      <c r="K87" s="1"/>
      <c r="L87" s="1"/>
      <c r="O87" s="1"/>
      <c r="P87" s="1"/>
      <c r="Q87" s="1"/>
      <c r="R87" s="1"/>
      <c r="S87" s="1"/>
      <c r="X87" s="1"/>
      <c r="Y87" s="1"/>
      <c r="AC87" s="1"/>
    </row>
    <row r="88" customFormat="false" ht="12.8" hidden="false" customHeight="false" outlineLevel="0" collapsed="false">
      <c r="A88" s="3"/>
      <c r="B88" s="1"/>
      <c r="C88" s="1"/>
      <c r="D88" s="1"/>
      <c r="E88" s="1"/>
      <c r="F88" s="1"/>
      <c r="G88" s="1"/>
      <c r="H88" s="1"/>
      <c r="I88" s="1"/>
      <c r="K88" s="1"/>
      <c r="L88" s="1"/>
      <c r="O88" s="1"/>
      <c r="P88" s="1"/>
      <c r="Q88" s="1"/>
      <c r="R88" s="1"/>
      <c r="S88" s="1"/>
      <c r="X88" s="1"/>
      <c r="Y88" s="1"/>
      <c r="AC88" s="1"/>
    </row>
    <row r="89" customFormat="false" ht="12.8" hidden="false" customHeight="false" outlineLevel="0" collapsed="false">
      <c r="A89" s="3"/>
      <c r="B89" s="1"/>
      <c r="C89" s="1"/>
      <c r="D89" s="1"/>
      <c r="E89" s="1"/>
      <c r="F89" s="1"/>
      <c r="G89" s="1"/>
      <c r="H89" s="1"/>
      <c r="I89" s="1"/>
      <c r="K89" s="1"/>
      <c r="L89" s="1"/>
      <c r="O89" s="1"/>
      <c r="P89" s="1"/>
      <c r="Q89" s="1"/>
      <c r="R89" s="1"/>
      <c r="S89" s="1"/>
      <c r="X89" s="1"/>
      <c r="Y89" s="1"/>
      <c r="AC89" s="1"/>
    </row>
    <row r="90" customFormat="false" ht="12.8" hidden="false" customHeight="false" outlineLevel="0" collapsed="false">
      <c r="A90" s="3"/>
      <c r="B90" s="1"/>
      <c r="C90" s="1"/>
      <c r="D90" s="1"/>
      <c r="E90" s="1"/>
      <c r="F90" s="1"/>
      <c r="G90" s="1"/>
      <c r="H90" s="1"/>
      <c r="I90" s="1"/>
      <c r="K90" s="1"/>
      <c r="L90" s="1"/>
      <c r="O90" s="1"/>
      <c r="P90" s="1"/>
      <c r="Q90" s="1"/>
      <c r="R90" s="1"/>
      <c r="S90" s="1"/>
      <c r="X90" s="1"/>
      <c r="Y90" s="1"/>
      <c r="AC90" s="1"/>
    </row>
    <row r="91" customFormat="false" ht="12.8" hidden="false" customHeight="false" outlineLevel="0" collapsed="false">
      <c r="A91" s="3"/>
      <c r="B91" s="1"/>
      <c r="C91" s="1"/>
      <c r="D91" s="1"/>
      <c r="E91" s="1"/>
      <c r="F91" s="1"/>
      <c r="G91" s="1"/>
      <c r="H91" s="1"/>
      <c r="I91" s="1"/>
      <c r="K91" s="1"/>
      <c r="L91" s="1"/>
      <c r="O91" s="1"/>
      <c r="P91" s="1"/>
      <c r="Q91" s="1"/>
      <c r="R91" s="1"/>
      <c r="S91" s="1"/>
      <c r="X91" s="1"/>
      <c r="Y91" s="1"/>
      <c r="AC91" s="1"/>
    </row>
    <row r="92" customFormat="false" ht="12.8" hidden="false" customHeight="false" outlineLevel="0" collapsed="false">
      <c r="A92" s="3"/>
      <c r="B92" s="1"/>
      <c r="C92" s="1"/>
      <c r="D92" s="1"/>
      <c r="E92" s="1"/>
      <c r="F92" s="1"/>
      <c r="G92" s="1"/>
      <c r="H92" s="1"/>
      <c r="I92" s="1"/>
      <c r="K92" s="1"/>
      <c r="L92" s="1"/>
      <c r="O92" s="1"/>
      <c r="P92" s="1"/>
      <c r="Q92" s="1"/>
      <c r="R92" s="1"/>
      <c r="S92" s="1"/>
      <c r="X92" s="1"/>
      <c r="Y92" s="1"/>
      <c r="AC92" s="1"/>
    </row>
    <row r="93" customFormat="false" ht="12.8" hidden="false" customHeight="false" outlineLevel="0" collapsed="false">
      <c r="A93" s="3"/>
      <c r="B93" s="1"/>
      <c r="C93" s="1"/>
      <c r="D93" s="1"/>
      <c r="E93" s="1"/>
      <c r="F93" s="1"/>
      <c r="G93" s="1"/>
      <c r="H93" s="1"/>
      <c r="I93" s="1"/>
      <c r="K93" s="1"/>
      <c r="L93" s="1"/>
      <c r="O93" s="1"/>
      <c r="P93" s="1"/>
      <c r="Q93" s="1"/>
      <c r="R93" s="1"/>
      <c r="S93" s="1"/>
      <c r="X93" s="1"/>
      <c r="Y93" s="1"/>
      <c r="AC93" s="1"/>
    </row>
    <row r="94" customFormat="false" ht="12.8" hidden="false" customHeight="false" outlineLevel="0" collapsed="false">
      <c r="A94" s="3"/>
      <c r="B94" s="1"/>
      <c r="C94" s="1"/>
      <c r="D94" s="1"/>
      <c r="E94" s="1"/>
      <c r="F94" s="1"/>
      <c r="G94" s="1"/>
      <c r="H94" s="1"/>
      <c r="I94" s="1"/>
      <c r="K94" s="1"/>
      <c r="L94" s="1"/>
      <c r="O94" s="1"/>
      <c r="P94" s="1"/>
      <c r="Q94" s="1"/>
      <c r="R94" s="1"/>
      <c r="S94" s="1"/>
      <c r="X94" s="1"/>
      <c r="Y94" s="1"/>
      <c r="AC94" s="1"/>
    </row>
    <row r="95" customFormat="false" ht="12.8" hidden="false" customHeight="false" outlineLevel="0" collapsed="false">
      <c r="A95" s="3"/>
      <c r="B95" s="1"/>
      <c r="C95" s="1"/>
      <c r="D95" s="1"/>
      <c r="E95" s="1"/>
      <c r="F95" s="1"/>
      <c r="G95" s="1"/>
      <c r="H95" s="1"/>
      <c r="I95" s="1"/>
      <c r="K95" s="1"/>
      <c r="L95" s="1"/>
      <c r="O95" s="1"/>
      <c r="P95" s="1"/>
      <c r="Q95" s="1"/>
      <c r="R95" s="1"/>
      <c r="S95" s="1"/>
      <c r="X95" s="1"/>
      <c r="Y95" s="1"/>
      <c r="AC95" s="1"/>
    </row>
    <row r="96" customFormat="false" ht="12.8" hidden="false" customHeight="false" outlineLevel="0" collapsed="false">
      <c r="A96" s="3"/>
      <c r="B96" s="1"/>
      <c r="C96" s="1"/>
      <c r="D96" s="1"/>
      <c r="E96" s="1"/>
      <c r="F96" s="1"/>
      <c r="G96" s="1"/>
      <c r="H96" s="1"/>
      <c r="I96" s="1"/>
      <c r="K96" s="1"/>
      <c r="L96" s="1"/>
      <c r="O96" s="1"/>
      <c r="P96" s="1"/>
      <c r="Q96" s="1"/>
      <c r="R96" s="1"/>
      <c r="S96" s="1"/>
      <c r="X96" s="1"/>
      <c r="Y96" s="1"/>
      <c r="AC96" s="1"/>
    </row>
    <row r="97" customFormat="false" ht="12.8" hidden="false" customHeight="false" outlineLevel="0" collapsed="false">
      <c r="A97" s="3"/>
      <c r="B97" s="1"/>
      <c r="C97" s="1"/>
      <c r="D97" s="1"/>
      <c r="E97" s="1"/>
      <c r="F97" s="1"/>
      <c r="G97" s="1"/>
      <c r="H97" s="1"/>
      <c r="I97" s="1"/>
      <c r="K97" s="1"/>
      <c r="L97" s="1"/>
      <c r="O97" s="1"/>
      <c r="P97" s="1"/>
      <c r="Q97" s="1"/>
      <c r="R97" s="1"/>
      <c r="S97" s="1"/>
      <c r="X97" s="1"/>
      <c r="Y97" s="1"/>
      <c r="AC97" s="1"/>
    </row>
    <row r="98" customFormat="false" ht="12.8" hidden="false" customHeight="false" outlineLevel="0" collapsed="false">
      <c r="A98" s="3"/>
      <c r="B98" s="1"/>
      <c r="C98" s="1"/>
      <c r="D98" s="1"/>
      <c r="E98" s="1"/>
      <c r="F98" s="1"/>
      <c r="G98" s="1"/>
      <c r="H98" s="1"/>
      <c r="I98" s="1"/>
      <c r="K98" s="1"/>
      <c r="L98" s="1"/>
      <c r="O98" s="1"/>
      <c r="P98" s="1"/>
      <c r="Q98" s="1"/>
      <c r="R98" s="1"/>
      <c r="S98" s="1"/>
      <c r="X98" s="1"/>
      <c r="Y98" s="1"/>
      <c r="AC98" s="1"/>
    </row>
    <row r="99" customFormat="false" ht="12.8" hidden="false" customHeight="false" outlineLevel="0" collapsed="false">
      <c r="A99" s="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O99" s="1"/>
      <c r="P99" s="1"/>
      <c r="R99" s="1"/>
      <c r="S99" s="1"/>
      <c r="X99" s="1"/>
      <c r="Y99" s="1"/>
      <c r="AC99" s="1"/>
    </row>
    <row r="100" customFormat="false" ht="12.8" hidden="false" customHeight="false" outlineLevel="0" collapsed="false">
      <c r="A100" s="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O100" s="1"/>
      <c r="P100" s="1"/>
      <c r="R100" s="1"/>
      <c r="S100" s="1"/>
      <c r="X100" s="1"/>
      <c r="Y100" s="1"/>
      <c r="AC100" s="1"/>
    </row>
    <row r="101" customFormat="false" ht="12.8" hidden="false" customHeight="false" outlineLevel="0" collapsed="false">
      <c r="A101" s="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O101" s="1"/>
      <c r="P101" s="1"/>
      <c r="R101" s="1"/>
      <c r="S101" s="1"/>
      <c r="X101" s="1"/>
      <c r="Y101" s="1"/>
      <c r="AC101" s="1"/>
    </row>
    <row r="102" customFormat="false" ht="12.8" hidden="false" customHeight="false" outlineLevel="0" collapsed="false">
      <c r="A102" s="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O102" s="1"/>
      <c r="P102" s="1"/>
      <c r="R102" s="1"/>
      <c r="S102" s="1"/>
      <c r="X102" s="1"/>
      <c r="Y102" s="1"/>
      <c r="AC102" s="1"/>
    </row>
    <row r="103" customFormat="false" ht="12.8" hidden="false" customHeight="false" outlineLevel="0" collapsed="false">
      <c r="A103" s="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O103" s="1"/>
      <c r="P103" s="1"/>
      <c r="R103" s="1"/>
      <c r="S103" s="1"/>
      <c r="X103" s="1"/>
      <c r="Y103" s="1"/>
      <c r="AC103" s="1"/>
    </row>
    <row r="104" customFormat="false" ht="12.8" hidden="false" customHeight="false" outlineLevel="0" collapsed="false">
      <c r="A104" s="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O104" s="1"/>
      <c r="P104" s="1"/>
      <c r="R104" s="1"/>
      <c r="S104" s="1"/>
      <c r="X104" s="1"/>
      <c r="Y104" s="1"/>
      <c r="AC104" s="1"/>
    </row>
    <row r="105" customFormat="false" ht="12.8" hidden="false" customHeight="false" outlineLevel="0" collapsed="false">
      <c r="A105" s="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O105" s="1"/>
      <c r="P105" s="1"/>
      <c r="R105" s="1"/>
      <c r="S105" s="1"/>
      <c r="X105" s="1"/>
      <c r="Y105" s="1"/>
      <c r="AC105" s="1"/>
    </row>
    <row r="106" customFormat="false" ht="12.8" hidden="false" customHeight="false" outlineLevel="0" collapsed="false">
      <c r="A106" s="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O106" s="1"/>
      <c r="P106" s="1"/>
      <c r="R106" s="1"/>
      <c r="S106" s="1"/>
      <c r="X106" s="1"/>
      <c r="Y106" s="1"/>
      <c r="AC106" s="1"/>
    </row>
    <row r="107" customFormat="false" ht="12.8" hidden="false" customHeight="false" outlineLevel="0" collapsed="false">
      <c r="A107" s="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O107" s="1"/>
      <c r="P107" s="1"/>
      <c r="R107" s="1"/>
      <c r="S107" s="1"/>
      <c r="X107" s="1"/>
      <c r="Y107" s="1"/>
      <c r="AC107" s="1"/>
    </row>
    <row r="108" customFormat="false" ht="12.8" hidden="false" customHeight="false" outlineLevel="0" collapsed="false">
      <c r="A108" s="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O108" s="1"/>
      <c r="P108" s="1"/>
      <c r="R108" s="1"/>
      <c r="S108" s="1"/>
      <c r="X108" s="1"/>
      <c r="Y108" s="1"/>
      <c r="AC108" s="1"/>
    </row>
    <row r="109" customFormat="false" ht="12.8" hidden="false" customHeight="false" outlineLevel="0" collapsed="false">
      <c r="A109" s="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O109" s="1"/>
      <c r="P109" s="1"/>
      <c r="R109" s="1"/>
      <c r="S109" s="1"/>
      <c r="X109" s="1"/>
      <c r="Y109" s="1"/>
      <c r="AC109" s="1"/>
    </row>
    <row r="110" customFormat="false" ht="12.8" hidden="false" customHeight="false" outlineLevel="0" collapsed="false">
      <c r="A110" s="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O110" s="1"/>
      <c r="P110" s="1"/>
      <c r="R110" s="1"/>
      <c r="S110" s="1"/>
      <c r="X110" s="1"/>
      <c r="Y110" s="1"/>
      <c r="AC110" s="1"/>
    </row>
    <row r="111" customFormat="false" ht="12.8" hidden="false" customHeight="false" outlineLevel="0" collapsed="false">
      <c r="A111" s="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O111" s="1"/>
      <c r="P111" s="1"/>
      <c r="R111" s="1"/>
      <c r="S111" s="1"/>
      <c r="X111" s="1"/>
      <c r="Y111" s="1"/>
      <c r="AC111" s="1"/>
    </row>
    <row r="112" customFormat="false" ht="12.8" hidden="false" customHeight="false" outlineLevel="0" collapsed="false">
      <c r="A112" s="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O112" s="1"/>
      <c r="P112" s="1"/>
      <c r="R112" s="1"/>
      <c r="S112" s="1"/>
      <c r="X112" s="1"/>
      <c r="Y112" s="1"/>
      <c r="AC112" s="1"/>
    </row>
    <row r="113" customFormat="false" ht="12.8" hidden="false" customHeight="false" outlineLevel="0" collapsed="false">
      <c r="A113" s="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O113" s="1"/>
      <c r="P113" s="1"/>
      <c r="R113" s="1"/>
      <c r="S113" s="1"/>
      <c r="X113" s="1"/>
      <c r="Y113" s="1"/>
      <c r="AC113" s="1"/>
    </row>
    <row r="114" customFormat="false" ht="12.8" hidden="false" customHeight="false" outlineLevel="0" collapsed="false">
      <c r="A114" s="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O114" s="1"/>
      <c r="P114" s="1"/>
      <c r="R114" s="1"/>
      <c r="S114" s="1"/>
      <c r="X114" s="1"/>
      <c r="Y114" s="1"/>
      <c r="AC114" s="1"/>
    </row>
    <row r="115" customFormat="false" ht="12.8" hidden="false" customHeight="false" outlineLevel="0" collapsed="false">
      <c r="A115" s="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O115" s="1"/>
      <c r="P115" s="1"/>
      <c r="R115" s="1"/>
      <c r="S115" s="1"/>
      <c r="X115" s="1"/>
      <c r="Y115" s="1"/>
      <c r="AC115" s="1"/>
    </row>
    <row r="116" customFormat="false" ht="12.8" hidden="false" customHeight="false" outlineLevel="0" collapsed="false">
      <c r="A116" s="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N116" s="1"/>
      <c r="O116" s="1"/>
      <c r="P116" s="1"/>
      <c r="R116" s="1"/>
      <c r="S116" s="1"/>
      <c r="X116" s="1"/>
      <c r="Y116" s="1"/>
      <c r="AC116" s="1"/>
    </row>
    <row r="117" customFormat="false" ht="12.8" hidden="false" customHeight="false" outlineLevel="0" collapsed="false">
      <c r="A117" s="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N117" s="1"/>
      <c r="O117" s="1"/>
      <c r="P117" s="1"/>
      <c r="R117" s="1"/>
      <c r="S117" s="1"/>
      <c r="X117" s="1"/>
      <c r="Y117" s="1"/>
      <c r="AC117" s="1"/>
    </row>
    <row r="118" customFormat="false" ht="12.8" hidden="false" customHeight="false" outlineLevel="0" collapsed="false">
      <c r="A118" s="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N118" s="1"/>
      <c r="O118" s="1"/>
      <c r="P118" s="1"/>
      <c r="R118" s="1"/>
      <c r="S118" s="1"/>
      <c r="X118" s="1"/>
      <c r="Y118" s="1"/>
      <c r="AC118" s="1"/>
    </row>
    <row r="119" customFormat="false" ht="12.8" hidden="false" customHeight="false" outlineLevel="0" collapsed="false">
      <c r="A119" s="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N119" s="1"/>
      <c r="O119" s="1"/>
      <c r="P119" s="1"/>
      <c r="R119" s="1"/>
      <c r="S119" s="1"/>
      <c r="X119" s="1"/>
      <c r="Y119" s="1"/>
      <c r="AC119" s="1"/>
    </row>
    <row r="120" customFormat="false" ht="12.8" hidden="false" customHeight="false" outlineLevel="0" collapsed="false">
      <c r="A120" s="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N120" s="1"/>
      <c r="O120" s="1"/>
      <c r="P120" s="1"/>
      <c r="R120" s="1"/>
      <c r="S120" s="1"/>
      <c r="X120" s="1"/>
      <c r="Y120" s="1"/>
      <c r="AC120" s="1"/>
    </row>
    <row r="121" customFormat="false" ht="12.8" hidden="false" customHeight="false" outlineLevel="0" collapsed="false">
      <c r="A121" s="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N121" s="1"/>
      <c r="O121" s="1"/>
      <c r="P121" s="1"/>
      <c r="R121" s="1"/>
      <c r="S121" s="1"/>
      <c r="X121" s="1"/>
      <c r="Y121" s="1"/>
      <c r="AC121" s="1"/>
    </row>
    <row r="122" customFormat="false" ht="12.8" hidden="false" customHeight="false" outlineLevel="0" collapsed="false">
      <c r="A122" s="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N122" s="1"/>
      <c r="O122" s="1"/>
      <c r="P122" s="1"/>
      <c r="R122" s="1"/>
      <c r="S122" s="1"/>
      <c r="X122" s="1"/>
      <c r="Y122" s="1"/>
      <c r="AC122" s="1"/>
    </row>
    <row r="123" customFormat="false" ht="12.8" hidden="false" customHeight="false" outlineLevel="0" collapsed="false">
      <c r="A123" s="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N123" s="1"/>
      <c r="O123" s="1"/>
      <c r="P123" s="1"/>
      <c r="R123" s="1"/>
      <c r="S123" s="1"/>
      <c r="X123" s="1"/>
      <c r="Y123" s="1"/>
      <c r="AC123" s="1"/>
    </row>
    <row r="124" customFormat="false" ht="12.8" hidden="false" customHeight="false" outlineLevel="0" collapsed="false">
      <c r="A124" s="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N124" s="1"/>
      <c r="O124" s="1"/>
      <c r="P124" s="1"/>
      <c r="R124" s="1"/>
      <c r="S124" s="1"/>
      <c r="X124" s="1"/>
      <c r="Y124" s="1"/>
      <c r="AC124" s="1"/>
    </row>
    <row r="125" customFormat="false" ht="12.8" hidden="false" customHeight="false" outlineLevel="0" collapsed="false">
      <c r="A125" s="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N125" s="1"/>
      <c r="O125" s="1"/>
      <c r="P125" s="1"/>
      <c r="R125" s="1"/>
      <c r="S125" s="1"/>
      <c r="X125" s="1"/>
      <c r="Y125" s="1"/>
      <c r="AC125" s="1"/>
    </row>
    <row r="126" customFormat="false" ht="12.8" hidden="false" customHeight="false" outlineLevel="0" collapsed="false">
      <c r="A126" s="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N126" s="1"/>
      <c r="O126" s="1"/>
      <c r="P126" s="1"/>
      <c r="R126" s="1"/>
      <c r="S126" s="1"/>
      <c r="X126" s="1"/>
      <c r="Y126" s="1"/>
      <c r="AC126" s="1"/>
    </row>
    <row r="127" customFormat="false" ht="12.8" hidden="false" customHeight="false" outlineLevel="0" collapsed="false">
      <c r="A127" s="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N127" s="1"/>
      <c r="O127" s="1"/>
      <c r="P127" s="1"/>
      <c r="R127" s="1"/>
      <c r="S127" s="1"/>
      <c r="X127" s="1"/>
      <c r="Y127" s="1"/>
      <c r="AC127" s="1"/>
    </row>
    <row r="128" customFormat="false" ht="12.8" hidden="false" customHeight="false" outlineLevel="0" collapsed="false">
      <c r="A128" s="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N128" s="1"/>
      <c r="O128" s="1"/>
      <c r="P128" s="1"/>
      <c r="R128" s="1"/>
      <c r="S128" s="1"/>
      <c r="X128" s="1"/>
      <c r="Y128" s="1"/>
      <c r="AC128" s="1"/>
    </row>
    <row r="129" customFormat="false" ht="12.8" hidden="false" customHeight="false" outlineLevel="0" collapsed="false">
      <c r="A129" s="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N129" s="1"/>
      <c r="O129" s="1"/>
      <c r="P129" s="1"/>
      <c r="R129" s="1"/>
      <c r="S129" s="1"/>
      <c r="X129" s="1"/>
      <c r="Y129" s="1"/>
      <c r="AC129" s="1"/>
    </row>
    <row r="130" customFormat="false" ht="12.8" hidden="false" customHeight="false" outlineLevel="0" collapsed="false">
      <c r="A130" s="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N130" s="1"/>
      <c r="O130" s="1"/>
      <c r="P130" s="1"/>
      <c r="R130" s="1"/>
      <c r="S130" s="1"/>
      <c r="X130" s="1"/>
      <c r="Y130" s="1"/>
      <c r="AC130" s="1"/>
    </row>
    <row r="131" customFormat="false" ht="12.8" hidden="false" customHeight="false" outlineLevel="0" collapsed="false">
      <c r="A131" s="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N131" s="1"/>
      <c r="O131" s="1"/>
      <c r="P131" s="1"/>
      <c r="R131" s="1"/>
      <c r="S131" s="1"/>
      <c r="X131" s="1"/>
      <c r="Y131" s="1"/>
      <c r="AC131" s="1"/>
    </row>
    <row r="132" customFormat="false" ht="12.8" hidden="false" customHeight="false" outlineLevel="0" collapsed="false">
      <c r="A132" s="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N132" s="1"/>
      <c r="O132" s="1"/>
      <c r="P132" s="1"/>
      <c r="R132" s="1"/>
      <c r="S132" s="1"/>
      <c r="X132" s="1"/>
      <c r="Y132" s="1"/>
      <c r="AC132" s="1"/>
    </row>
    <row r="133" customFormat="false" ht="12.8" hidden="false" customHeight="false" outlineLevel="0" collapsed="false">
      <c r="A133" s="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N133" s="1"/>
      <c r="O133" s="1"/>
      <c r="P133" s="1"/>
      <c r="R133" s="1"/>
      <c r="S133" s="1"/>
      <c r="X133" s="1"/>
      <c r="Y133" s="1"/>
      <c r="AC133" s="1"/>
    </row>
    <row r="134" customFormat="false" ht="12.8" hidden="false" customHeight="false" outlineLevel="0" collapsed="false">
      <c r="A134" s="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N134" s="1"/>
      <c r="O134" s="1"/>
      <c r="P134" s="1"/>
      <c r="R134" s="1"/>
      <c r="S134" s="1"/>
      <c r="X134" s="1"/>
      <c r="Y134" s="1"/>
      <c r="AC134" s="1"/>
    </row>
    <row r="135" customFormat="false" ht="12.8" hidden="false" customHeight="false" outlineLevel="0" collapsed="false">
      <c r="A135" s="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N135" s="1"/>
      <c r="O135" s="1"/>
      <c r="P135" s="1"/>
      <c r="R135" s="1"/>
      <c r="S135" s="1"/>
      <c r="X135" s="1"/>
      <c r="Y135" s="1"/>
      <c r="AC135" s="1"/>
    </row>
    <row r="136" customFormat="false" ht="12.8" hidden="false" customHeight="false" outlineLevel="0" collapsed="false">
      <c r="A136" s="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N136" s="1"/>
      <c r="O136" s="1"/>
      <c r="P136" s="1"/>
      <c r="R136" s="1"/>
      <c r="S136" s="1"/>
      <c r="X136" s="1"/>
      <c r="Y136" s="1"/>
      <c r="AC136" s="1"/>
    </row>
    <row r="137" customFormat="false" ht="12.8" hidden="false" customHeight="false" outlineLevel="0" collapsed="false">
      <c r="A137" s="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N137" s="1"/>
      <c r="O137" s="1"/>
      <c r="P137" s="1"/>
      <c r="R137" s="1"/>
      <c r="S137" s="1"/>
      <c r="X137" s="1"/>
      <c r="Y137" s="1"/>
      <c r="AC137" s="1"/>
    </row>
    <row r="138" customFormat="false" ht="12.8" hidden="false" customHeight="false" outlineLevel="0" collapsed="false">
      <c r="A138" s="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N138" s="1"/>
      <c r="O138" s="1"/>
      <c r="P138" s="1"/>
      <c r="R138" s="1"/>
      <c r="S138" s="1"/>
      <c r="X138" s="1"/>
      <c r="Y138" s="1"/>
      <c r="AC138" s="1"/>
    </row>
    <row r="139" customFormat="false" ht="12.8" hidden="false" customHeight="false" outlineLevel="0" collapsed="false">
      <c r="A139" s="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N139" s="1"/>
      <c r="O139" s="1"/>
      <c r="P139" s="1"/>
      <c r="R139" s="1"/>
      <c r="S139" s="1"/>
      <c r="X139" s="1"/>
      <c r="Y139" s="1"/>
      <c r="AC139" s="1"/>
    </row>
    <row r="140" customFormat="false" ht="12.8" hidden="false" customHeight="false" outlineLevel="0" collapsed="false">
      <c r="A140" s="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N140" s="1"/>
      <c r="O140" s="1"/>
      <c r="P140" s="1"/>
      <c r="R140" s="1"/>
      <c r="S140" s="1"/>
      <c r="X140" s="1"/>
      <c r="Y140" s="1"/>
      <c r="AC140" s="1"/>
    </row>
    <row r="141" customFormat="false" ht="12.8" hidden="false" customHeight="false" outlineLevel="0" collapsed="false">
      <c r="A141" s="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N141" s="1"/>
      <c r="O141" s="1"/>
      <c r="P141" s="1"/>
      <c r="R141" s="1"/>
      <c r="S141" s="1"/>
      <c r="X141" s="1"/>
      <c r="Y141" s="1"/>
      <c r="AC141" s="1"/>
    </row>
    <row r="142" customFormat="false" ht="12.8" hidden="false" customHeight="false" outlineLevel="0" collapsed="false">
      <c r="A142" s="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N142" s="1"/>
      <c r="O142" s="1"/>
      <c r="P142" s="1"/>
      <c r="R142" s="1"/>
      <c r="S142" s="1"/>
      <c r="X142" s="1"/>
      <c r="Y142" s="1"/>
      <c r="AC142" s="1"/>
    </row>
    <row r="143" customFormat="false" ht="12.8" hidden="false" customHeight="false" outlineLevel="0" collapsed="false">
      <c r="A143" s="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N143" s="1"/>
      <c r="O143" s="1"/>
      <c r="P143" s="1"/>
      <c r="R143" s="1"/>
      <c r="S143" s="1"/>
      <c r="X143" s="1"/>
      <c r="Y143" s="1"/>
      <c r="AC143" s="1"/>
    </row>
    <row r="144" customFormat="false" ht="12.8" hidden="false" customHeight="false" outlineLevel="0" collapsed="false">
      <c r="A144" s="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N144" s="1"/>
      <c r="O144" s="1"/>
      <c r="P144" s="1"/>
      <c r="R144" s="1"/>
      <c r="S144" s="1"/>
      <c r="X144" s="1"/>
      <c r="Y144" s="1"/>
      <c r="AC144" s="1"/>
    </row>
    <row r="145" customFormat="false" ht="12.8" hidden="false" customHeight="false" outlineLevel="0" collapsed="false">
      <c r="A145" s="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N145" s="1"/>
      <c r="O145" s="1"/>
      <c r="P145" s="1"/>
      <c r="R145" s="1"/>
      <c r="S145" s="1"/>
      <c r="X145" s="1"/>
      <c r="Y145" s="1"/>
      <c r="AC145" s="1"/>
    </row>
    <row r="146" customFormat="false" ht="12.8" hidden="false" customHeight="false" outlineLevel="0" collapsed="false">
      <c r="A146" s="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N146" s="1"/>
      <c r="O146" s="1"/>
      <c r="P146" s="1"/>
      <c r="R146" s="1"/>
      <c r="S146" s="1"/>
      <c r="X146" s="1"/>
      <c r="Y146" s="1"/>
      <c r="AC146" s="1"/>
    </row>
    <row r="147" customFormat="false" ht="12.8" hidden="false" customHeight="false" outlineLevel="0" collapsed="false">
      <c r="A147" s="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N147" s="1"/>
      <c r="O147" s="1"/>
      <c r="P147" s="1"/>
      <c r="R147" s="1"/>
      <c r="S147" s="1"/>
      <c r="X147" s="1"/>
      <c r="Y147" s="1"/>
      <c r="AC147" s="1"/>
    </row>
    <row r="148" customFormat="false" ht="12.8" hidden="false" customHeight="false" outlineLevel="0" collapsed="false">
      <c r="A148" s="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N148" s="1"/>
      <c r="O148" s="1"/>
      <c r="P148" s="1"/>
      <c r="R148" s="1"/>
      <c r="S148" s="1"/>
      <c r="X148" s="1"/>
      <c r="Y148" s="1"/>
      <c r="AC148" s="1"/>
    </row>
    <row r="149" customFormat="false" ht="12.8" hidden="false" customHeight="false" outlineLevel="0" collapsed="false">
      <c r="A149" s="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N149" s="1"/>
      <c r="O149" s="1"/>
      <c r="P149" s="1"/>
      <c r="R149" s="1"/>
      <c r="S149" s="1"/>
      <c r="X149" s="1"/>
      <c r="Y149" s="1"/>
      <c r="AC149" s="1"/>
    </row>
    <row r="150" customFormat="false" ht="12.8" hidden="false" customHeight="false" outlineLevel="0" collapsed="false">
      <c r="A150" s="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N150" s="1"/>
      <c r="O150" s="1"/>
      <c r="P150" s="1"/>
      <c r="R150" s="1"/>
      <c r="S150" s="1"/>
      <c r="X150" s="1"/>
      <c r="Y150" s="1"/>
      <c r="AC150" s="1"/>
    </row>
    <row r="151" customFormat="false" ht="12.8" hidden="false" customHeight="false" outlineLevel="0" collapsed="false">
      <c r="A151" s="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N151" s="1"/>
      <c r="O151" s="1"/>
      <c r="P151" s="1"/>
      <c r="R151" s="1"/>
      <c r="S151" s="1"/>
      <c r="X151" s="1"/>
      <c r="Y151" s="1"/>
      <c r="AC151" s="1"/>
    </row>
    <row r="152" customFormat="false" ht="12.8" hidden="false" customHeight="false" outlineLevel="0" collapsed="false">
      <c r="A152" s="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N152" s="1"/>
      <c r="O152" s="1"/>
      <c r="P152" s="1"/>
      <c r="R152" s="1"/>
      <c r="S152" s="1"/>
      <c r="X152" s="1"/>
      <c r="Y152" s="1"/>
      <c r="AC152" s="1"/>
    </row>
    <row r="153" customFormat="false" ht="12.8" hidden="false" customHeight="false" outlineLevel="0" collapsed="false">
      <c r="A153" s="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N153" s="1"/>
      <c r="O153" s="1"/>
      <c r="P153" s="1"/>
      <c r="R153" s="1"/>
      <c r="S153" s="1"/>
      <c r="X153" s="1"/>
      <c r="Y153" s="1"/>
      <c r="AC153" s="1"/>
    </row>
    <row r="154" customFormat="false" ht="12.8" hidden="false" customHeight="false" outlineLevel="0" collapsed="false">
      <c r="A154" s="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N154" s="1"/>
      <c r="O154" s="1"/>
      <c r="P154" s="1"/>
      <c r="R154" s="1"/>
      <c r="S154" s="1"/>
      <c r="X154" s="1"/>
      <c r="Y154" s="1"/>
      <c r="AC154" s="1"/>
    </row>
    <row r="155" customFormat="false" ht="12.8" hidden="false" customHeight="false" outlineLevel="0" collapsed="false">
      <c r="A155" s="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N155" s="1"/>
      <c r="O155" s="1"/>
      <c r="P155" s="1"/>
      <c r="R155" s="1"/>
      <c r="S155" s="1"/>
      <c r="X155" s="1"/>
      <c r="Y155" s="1"/>
      <c r="AC155" s="1"/>
    </row>
    <row r="156" customFormat="false" ht="12.8" hidden="false" customHeight="false" outlineLevel="0" collapsed="false">
      <c r="A156" s="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N156" s="1"/>
      <c r="O156" s="1"/>
      <c r="P156" s="1"/>
      <c r="R156" s="1"/>
      <c r="S156" s="1"/>
      <c r="X156" s="1"/>
      <c r="Y156" s="1"/>
      <c r="AC156" s="1"/>
    </row>
    <row r="157" customFormat="false" ht="12.8" hidden="false" customHeight="false" outlineLevel="0" collapsed="false">
      <c r="A157" s="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N157" s="1"/>
      <c r="O157" s="1"/>
      <c r="P157" s="1"/>
      <c r="R157" s="1"/>
      <c r="S157" s="1"/>
      <c r="X157" s="1"/>
      <c r="Y157" s="1"/>
      <c r="AC157" s="1"/>
    </row>
    <row r="158" customFormat="false" ht="12.8" hidden="false" customHeight="false" outlineLevel="0" collapsed="false">
      <c r="A158" s="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N158" s="1"/>
      <c r="O158" s="1"/>
      <c r="P158" s="1"/>
      <c r="R158" s="1"/>
      <c r="S158" s="1"/>
      <c r="X158" s="1"/>
      <c r="Y158" s="1"/>
      <c r="AC158" s="1"/>
    </row>
    <row r="159" customFormat="false" ht="12.8" hidden="false" customHeight="false" outlineLevel="0" collapsed="false">
      <c r="A159" s="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N159" s="1"/>
      <c r="O159" s="1"/>
      <c r="P159" s="1"/>
      <c r="R159" s="1"/>
      <c r="S159" s="1"/>
      <c r="X159" s="1"/>
      <c r="Y159" s="1"/>
      <c r="AC159" s="1"/>
    </row>
    <row r="160" customFormat="false" ht="12.8" hidden="false" customHeight="false" outlineLevel="0" collapsed="false">
      <c r="A160" s="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N160" s="1"/>
      <c r="O160" s="1"/>
      <c r="P160" s="1"/>
      <c r="R160" s="1"/>
      <c r="S160" s="1"/>
      <c r="X160" s="1"/>
      <c r="Y160" s="1"/>
      <c r="AC160" s="1"/>
    </row>
    <row r="161" customFormat="false" ht="12.8" hidden="false" customHeight="false" outlineLevel="0" collapsed="false">
      <c r="A161" s="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N161" s="1"/>
      <c r="O161" s="1"/>
      <c r="P161" s="1"/>
      <c r="R161" s="1"/>
      <c r="S161" s="1"/>
      <c r="X161" s="1"/>
      <c r="Y161" s="1"/>
      <c r="AC161" s="1"/>
    </row>
    <row r="162" customFormat="false" ht="12.8" hidden="false" customHeight="false" outlineLevel="0" collapsed="false">
      <c r="A162" s="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N162" s="1"/>
      <c r="O162" s="1"/>
      <c r="P162" s="1"/>
      <c r="R162" s="1"/>
      <c r="S162" s="1"/>
      <c r="X162" s="1"/>
      <c r="Y162" s="1"/>
      <c r="AC162" s="1"/>
    </row>
    <row r="163" customFormat="false" ht="12.8" hidden="false" customHeight="false" outlineLevel="0" collapsed="false">
      <c r="A163" s="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N163" s="1"/>
      <c r="O163" s="1"/>
      <c r="P163" s="1"/>
      <c r="R163" s="1"/>
      <c r="S163" s="1"/>
      <c r="X163" s="1"/>
      <c r="Y163" s="1"/>
      <c r="AC163" s="1"/>
    </row>
    <row r="164" customFormat="false" ht="12.8" hidden="false" customHeight="false" outlineLevel="0" collapsed="false">
      <c r="A164" s="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N164" s="1"/>
      <c r="O164" s="1"/>
      <c r="P164" s="1"/>
      <c r="R164" s="1"/>
      <c r="S164" s="1"/>
      <c r="X164" s="1"/>
      <c r="Y164" s="1"/>
      <c r="AC164" s="1"/>
    </row>
    <row r="165" customFormat="false" ht="12.8" hidden="false" customHeight="false" outlineLevel="0" collapsed="false">
      <c r="A165" s="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N165" s="1"/>
      <c r="O165" s="1"/>
      <c r="P165" s="1"/>
      <c r="R165" s="1"/>
      <c r="S165" s="1"/>
      <c r="X165" s="1"/>
      <c r="Y165" s="1"/>
      <c r="AC165" s="1"/>
    </row>
    <row r="166" customFormat="false" ht="12.8" hidden="false" customHeight="false" outlineLevel="0" collapsed="false">
      <c r="A166" s="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N166" s="1"/>
      <c r="O166" s="1"/>
      <c r="P166" s="1"/>
      <c r="R166" s="1"/>
      <c r="S166" s="1"/>
      <c r="X166" s="1"/>
      <c r="Y166" s="1"/>
      <c r="AC166" s="1"/>
    </row>
    <row r="167" customFormat="false" ht="12.8" hidden="false" customHeight="false" outlineLevel="0" collapsed="false">
      <c r="A167" s="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N167" s="1"/>
      <c r="O167" s="1"/>
      <c r="P167" s="1"/>
      <c r="R167" s="1"/>
      <c r="S167" s="1"/>
      <c r="X167" s="1"/>
      <c r="Y167" s="1"/>
      <c r="AC167" s="1"/>
    </row>
    <row r="168" customFormat="false" ht="12.8" hidden="false" customHeight="false" outlineLevel="0" collapsed="false">
      <c r="A168" s="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N168" s="1"/>
      <c r="O168" s="1"/>
      <c r="P168" s="1"/>
      <c r="R168" s="1"/>
      <c r="S168" s="1"/>
      <c r="X168" s="1"/>
      <c r="Y168" s="1"/>
      <c r="AC168" s="1"/>
    </row>
    <row r="169" customFormat="false" ht="12.8" hidden="false" customHeight="false" outlineLevel="0" collapsed="false">
      <c r="A169" s="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N169" s="1"/>
      <c r="O169" s="1"/>
      <c r="P169" s="1"/>
      <c r="R169" s="1"/>
      <c r="S169" s="1"/>
      <c r="X169" s="1"/>
      <c r="Y169" s="1"/>
      <c r="AC169" s="1"/>
    </row>
    <row r="170" customFormat="false" ht="12.8" hidden="false" customHeight="false" outlineLevel="0" collapsed="false">
      <c r="A170" s="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N170" s="1"/>
      <c r="O170" s="1"/>
      <c r="P170" s="1"/>
      <c r="R170" s="1"/>
      <c r="S170" s="1"/>
      <c r="X170" s="1"/>
      <c r="Y170" s="1"/>
      <c r="AC170" s="1"/>
    </row>
    <row r="171" customFormat="false" ht="12.8" hidden="false" customHeight="false" outlineLevel="0" collapsed="false">
      <c r="A171" s="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N171" s="1"/>
      <c r="O171" s="1"/>
      <c r="P171" s="1"/>
      <c r="R171" s="1"/>
      <c r="S171" s="1"/>
      <c r="X171" s="1"/>
      <c r="Y171" s="1"/>
      <c r="AC171" s="1"/>
    </row>
    <row r="172" customFormat="false" ht="12.8" hidden="false" customHeight="false" outlineLevel="0" collapsed="false">
      <c r="A172" s="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N172" s="1"/>
      <c r="O172" s="1"/>
      <c r="P172" s="1"/>
      <c r="R172" s="1"/>
      <c r="S172" s="1"/>
      <c r="X172" s="1"/>
      <c r="Y172" s="1"/>
      <c r="AC172" s="1"/>
    </row>
    <row r="173" customFormat="false" ht="12.8" hidden="false" customHeight="false" outlineLevel="0" collapsed="false">
      <c r="A173" s="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N173" s="1"/>
      <c r="O173" s="1"/>
      <c r="P173" s="1"/>
      <c r="R173" s="1"/>
      <c r="S173" s="1"/>
      <c r="X173" s="1"/>
      <c r="Y173" s="1"/>
      <c r="AC173" s="1"/>
    </row>
    <row r="174" customFormat="false" ht="12.8" hidden="false" customHeight="false" outlineLevel="0" collapsed="false">
      <c r="A174" s="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N174" s="1"/>
      <c r="O174" s="1"/>
      <c r="P174" s="1"/>
      <c r="R174" s="1"/>
      <c r="S174" s="1"/>
      <c r="X174" s="1"/>
      <c r="Y174" s="1"/>
      <c r="AC174" s="1"/>
    </row>
    <row r="175" customFormat="false" ht="12.8" hidden="false" customHeight="false" outlineLevel="0" collapsed="false">
      <c r="A175" s="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N175" s="1"/>
      <c r="O175" s="1"/>
      <c r="P175" s="1"/>
      <c r="R175" s="1"/>
      <c r="S175" s="1"/>
      <c r="X175" s="1"/>
      <c r="Y175" s="1"/>
      <c r="AC175" s="1"/>
    </row>
    <row r="176" customFormat="false" ht="12.8" hidden="false" customHeight="false" outlineLevel="0" collapsed="false">
      <c r="A176" s="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N176" s="1"/>
      <c r="O176" s="1"/>
      <c r="P176" s="1"/>
      <c r="R176" s="1"/>
      <c r="S176" s="1"/>
      <c r="X176" s="1"/>
      <c r="Y176" s="1"/>
      <c r="AC176" s="1"/>
    </row>
    <row r="177" customFormat="false" ht="12.8" hidden="false" customHeight="false" outlineLevel="0" collapsed="false">
      <c r="A177" s="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N177" s="1"/>
      <c r="O177" s="1"/>
      <c r="P177" s="1"/>
      <c r="R177" s="1"/>
      <c r="S177" s="1"/>
      <c r="X177" s="1"/>
      <c r="Y177" s="1"/>
      <c r="AC177" s="1"/>
    </row>
    <row r="178" customFormat="false" ht="12.8" hidden="false" customHeight="false" outlineLevel="0" collapsed="false">
      <c r="A178" s="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N178" s="1"/>
      <c r="O178" s="1"/>
      <c r="P178" s="1"/>
      <c r="R178" s="1"/>
      <c r="S178" s="1"/>
      <c r="X178" s="1"/>
      <c r="Y178" s="1"/>
      <c r="AC178" s="1"/>
    </row>
    <row r="179" customFormat="false" ht="12.8" hidden="false" customHeight="false" outlineLevel="0" collapsed="false">
      <c r="A179" s="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N179" s="1"/>
      <c r="O179" s="1"/>
      <c r="P179" s="1"/>
      <c r="R179" s="1"/>
      <c r="S179" s="1"/>
      <c r="X179" s="1"/>
      <c r="Y179" s="1"/>
      <c r="AC179" s="1"/>
    </row>
    <row r="180" customFormat="false" ht="12.8" hidden="false" customHeight="false" outlineLevel="0" collapsed="false">
      <c r="A180" s="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N180" s="1"/>
      <c r="O180" s="1"/>
      <c r="P180" s="1"/>
      <c r="R180" s="1"/>
      <c r="S180" s="1"/>
      <c r="X180" s="1"/>
      <c r="Y180" s="1"/>
      <c r="AC180" s="1"/>
    </row>
    <row r="181" customFormat="false" ht="12.8" hidden="false" customHeight="false" outlineLevel="0" collapsed="false">
      <c r="A181" s="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N181" s="1"/>
      <c r="O181" s="1"/>
      <c r="P181" s="1"/>
      <c r="R181" s="1"/>
      <c r="S181" s="1"/>
      <c r="X181" s="1"/>
      <c r="Y181" s="1"/>
      <c r="AC181" s="1"/>
    </row>
    <row r="182" customFormat="false" ht="12.8" hidden="false" customHeight="false" outlineLevel="0" collapsed="false">
      <c r="A182" s="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N182" s="1"/>
      <c r="O182" s="1"/>
      <c r="P182" s="1"/>
      <c r="R182" s="1"/>
      <c r="S182" s="1"/>
      <c r="X182" s="1"/>
      <c r="Y182" s="1"/>
      <c r="AC182" s="1"/>
    </row>
    <row r="183" customFormat="false" ht="12.8" hidden="false" customHeight="false" outlineLevel="0" collapsed="false">
      <c r="A183" s="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N183" s="1"/>
      <c r="O183" s="1"/>
      <c r="P183" s="1"/>
      <c r="R183" s="1"/>
      <c r="S183" s="1"/>
      <c r="X183" s="1"/>
      <c r="Y183" s="1"/>
      <c r="AC183" s="1"/>
    </row>
    <row r="184" customFormat="false" ht="12.8" hidden="false" customHeight="false" outlineLevel="0" collapsed="false">
      <c r="A184" s="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N184" s="1"/>
      <c r="O184" s="1"/>
      <c r="P184" s="1"/>
      <c r="R184" s="1"/>
      <c r="S184" s="1"/>
      <c r="X184" s="1"/>
      <c r="Y184" s="1"/>
      <c r="AC184" s="1"/>
    </row>
    <row r="185" customFormat="false" ht="12.8" hidden="false" customHeight="false" outlineLevel="0" collapsed="false">
      <c r="A185" s="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N185" s="1"/>
      <c r="O185" s="1"/>
      <c r="P185" s="1"/>
      <c r="R185" s="1"/>
      <c r="S185" s="1"/>
      <c r="X185" s="1"/>
      <c r="Y185" s="1"/>
      <c r="AC185" s="1"/>
    </row>
    <row r="186" customFormat="false" ht="12.8" hidden="false" customHeight="false" outlineLevel="0" collapsed="false">
      <c r="A186" s="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N186" s="1"/>
      <c r="O186" s="1"/>
      <c r="P186" s="1"/>
      <c r="R186" s="1"/>
      <c r="S186" s="1"/>
      <c r="X186" s="1"/>
      <c r="Y186" s="1"/>
      <c r="AC186" s="1"/>
    </row>
    <row r="187" customFormat="false" ht="12.8" hidden="false" customHeight="false" outlineLevel="0" collapsed="false">
      <c r="A187" s="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N187" s="1"/>
      <c r="O187" s="1"/>
      <c r="P187" s="1"/>
      <c r="R187" s="1"/>
      <c r="S187" s="1"/>
      <c r="X187" s="1"/>
      <c r="Y187" s="1"/>
      <c r="AC187" s="1"/>
    </row>
    <row r="188" customFormat="false" ht="12.8" hidden="false" customHeight="false" outlineLevel="0" collapsed="false">
      <c r="A188" s="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N188" s="1"/>
      <c r="O188" s="1"/>
      <c r="P188" s="1"/>
      <c r="R188" s="1"/>
      <c r="S188" s="1"/>
      <c r="X188" s="1"/>
      <c r="Y188" s="1"/>
      <c r="AC188" s="1"/>
    </row>
    <row r="189" customFormat="false" ht="12.8" hidden="false" customHeight="false" outlineLevel="0" collapsed="false">
      <c r="A189" s="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N189" s="1"/>
      <c r="O189" s="1"/>
      <c r="P189" s="1"/>
      <c r="R189" s="1"/>
      <c r="S189" s="1"/>
      <c r="X189" s="1"/>
      <c r="Y189" s="1"/>
      <c r="AC189" s="1"/>
    </row>
    <row r="190" customFormat="false" ht="12.8" hidden="false" customHeight="false" outlineLevel="0" collapsed="false">
      <c r="A190" s="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N190" s="1"/>
      <c r="O190" s="1"/>
      <c r="P190" s="1"/>
      <c r="R190" s="1"/>
      <c r="S190" s="1"/>
      <c r="X190" s="1"/>
      <c r="Y190" s="1"/>
      <c r="AC190" s="1"/>
    </row>
    <row r="191" customFormat="false" ht="12.8" hidden="false" customHeight="false" outlineLevel="0" collapsed="false">
      <c r="A191" s="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N191" s="1"/>
      <c r="O191" s="1"/>
      <c r="P191" s="1"/>
      <c r="R191" s="1"/>
      <c r="S191" s="1"/>
      <c r="X191" s="1"/>
      <c r="Y191" s="1"/>
      <c r="AC191" s="1"/>
    </row>
    <row r="192" customFormat="false" ht="12.8" hidden="false" customHeight="false" outlineLevel="0" collapsed="false">
      <c r="A192" s="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N192" s="1"/>
      <c r="O192" s="1"/>
      <c r="P192" s="1"/>
      <c r="R192" s="1"/>
      <c r="S192" s="1"/>
      <c r="X192" s="1"/>
      <c r="Y192" s="1"/>
      <c r="AC192" s="1"/>
    </row>
    <row r="193" customFormat="false" ht="12.8" hidden="false" customHeight="false" outlineLevel="0" collapsed="false">
      <c r="A193" s="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N193" s="1"/>
      <c r="O193" s="1"/>
      <c r="P193" s="1"/>
      <c r="R193" s="1"/>
      <c r="S193" s="1"/>
      <c r="X193" s="1"/>
      <c r="Y193" s="1"/>
      <c r="AC193" s="1"/>
    </row>
    <row r="194" customFormat="false" ht="12.8" hidden="false" customHeight="false" outlineLevel="0" collapsed="false">
      <c r="A194" s="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N194" s="1"/>
      <c r="O194" s="1"/>
      <c r="P194" s="1"/>
      <c r="R194" s="1"/>
      <c r="S194" s="1"/>
      <c r="X194" s="1"/>
      <c r="Y194" s="1"/>
      <c r="AC194" s="1"/>
    </row>
    <row r="195" customFormat="false" ht="12.8" hidden="false" customHeight="false" outlineLevel="0" collapsed="false">
      <c r="A195" s="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N195" s="1"/>
      <c r="O195" s="1"/>
      <c r="P195" s="1"/>
      <c r="R195" s="1"/>
      <c r="S195" s="1"/>
      <c r="X195" s="1"/>
      <c r="Y195" s="1"/>
      <c r="AC195" s="1"/>
    </row>
    <row r="196" customFormat="false" ht="12.8" hidden="false" customHeight="false" outlineLevel="0" collapsed="false">
      <c r="A196" s="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N196" s="1"/>
      <c r="O196" s="1"/>
      <c r="P196" s="1"/>
      <c r="R196" s="1"/>
      <c r="S196" s="1"/>
      <c r="X196" s="1"/>
      <c r="Y196" s="1"/>
      <c r="AC196" s="1"/>
    </row>
    <row r="197" customFormat="false" ht="12.8" hidden="false" customHeight="false" outlineLevel="0" collapsed="false">
      <c r="A197" s="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N197" s="1"/>
      <c r="O197" s="1"/>
      <c r="P197" s="1"/>
      <c r="R197" s="1"/>
      <c r="S197" s="1"/>
      <c r="X197" s="1"/>
      <c r="Y197" s="1"/>
      <c r="AC197" s="1"/>
    </row>
    <row r="198" customFormat="false" ht="12.8" hidden="false" customHeight="false" outlineLevel="0" collapsed="false">
      <c r="A198" s="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N198" s="1"/>
      <c r="O198" s="1"/>
      <c r="P198" s="1"/>
      <c r="R198" s="1"/>
      <c r="S198" s="1"/>
      <c r="X198" s="1"/>
      <c r="Y198" s="1"/>
      <c r="AC198" s="1"/>
    </row>
    <row r="199" customFormat="false" ht="12.8" hidden="false" customHeight="false" outlineLevel="0" collapsed="false">
      <c r="A199" s="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N199" s="1"/>
      <c r="O199" s="1"/>
      <c r="P199" s="1"/>
      <c r="R199" s="1"/>
      <c r="S199" s="1"/>
      <c r="X199" s="1"/>
      <c r="Y199" s="1"/>
      <c r="AC199" s="1"/>
    </row>
    <row r="200" customFormat="false" ht="12.8" hidden="false" customHeight="false" outlineLevel="0" collapsed="false">
      <c r="A200" s="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N200" s="1"/>
      <c r="O200" s="1"/>
      <c r="P200" s="1"/>
      <c r="R200" s="1"/>
      <c r="S200" s="1"/>
      <c r="X200" s="1"/>
      <c r="Y200" s="1"/>
      <c r="AC200" s="1"/>
    </row>
    <row r="201" customFormat="false" ht="12.8" hidden="false" customHeight="false" outlineLevel="0" collapsed="false">
      <c r="A201" s="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N201" s="1"/>
      <c r="O201" s="1"/>
      <c r="P201" s="1"/>
      <c r="R201" s="1"/>
      <c r="S201" s="1"/>
      <c r="X201" s="1"/>
      <c r="Y201" s="1"/>
      <c r="AC201" s="1"/>
    </row>
    <row r="202" customFormat="false" ht="12.8" hidden="false" customHeight="false" outlineLevel="0" collapsed="false">
      <c r="A202" s="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N202" s="1"/>
      <c r="O202" s="1"/>
      <c r="P202" s="1"/>
      <c r="R202" s="1"/>
      <c r="S202" s="1"/>
      <c r="X202" s="1"/>
      <c r="Y202" s="1"/>
      <c r="AC202" s="1"/>
    </row>
    <row r="203" customFormat="false" ht="12.8" hidden="false" customHeight="false" outlineLevel="0" collapsed="false">
      <c r="A203" s="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N203" s="1"/>
      <c r="O203" s="1"/>
      <c r="P203" s="1"/>
      <c r="R203" s="1"/>
      <c r="S203" s="1"/>
      <c r="X203" s="1"/>
      <c r="Y203" s="1"/>
      <c r="AC203" s="1"/>
    </row>
    <row r="204" customFormat="false" ht="12.8" hidden="false" customHeight="false" outlineLevel="0" collapsed="false">
      <c r="A204" s="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N204" s="1"/>
      <c r="O204" s="1"/>
      <c r="P204" s="1"/>
      <c r="R204" s="1"/>
      <c r="S204" s="1"/>
      <c r="X204" s="1"/>
      <c r="Y204" s="1"/>
      <c r="AC204" s="1"/>
    </row>
    <row r="205" customFormat="false" ht="12.8" hidden="false" customHeight="false" outlineLevel="0" collapsed="false">
      <c r="A205" s="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N205" s="1"/>
      <c r="O205" s="1"/>
      <c r="P205" s="1"/>
      <c r="R205" s="1"/>
      <c r="S205" s="1"/>
      <c r="X205" s="1"/>
      <c r="Y205" s="1"/>
      <c r="AC205" s="1"/>
    </row>
    <row r="206" customFormat="false" ht="12.8" hidden="false" customHeight="false" outlineLevel="0" collapsed="false">
      <c r="A206" s="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N206" s="1"/>
      <c r="O206" s="1"/>
      <c r="P206" s="1"/>
      <c r="R206" s="1"/>
      <c r="S206" s="1"/>
      <c r="X206" s="1"/>
      <c r="Y206" s="1"/>
      <c r="AC206" s="1"/>
    </row>
    <row r="207" customFormat="false" ht="12.8" hidden="false" customHeight="false" outlineLevel="0" collapsed="false">
      <c r="A207" s="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O207" s="1"/>
      <c r="P207" s="1"/>
      <c r="R207" s="1"/>
      <c r="S207" s="1"/>
      <c r="X207" s="1"/>
      <c r="Y207" s="1"/>
      <c r="AC207" s="1"/>
    </row>
    <row r="208" customFormat="false" ht="12.8" hidden="false" customHeight="false" outlineLevel="0" collapsed="false">
      <c r="A208" s="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N208" s="1"/>
      <c r="O208" s="1"/>
      <c r="P208" s="1"/>
      <c r="R208" s="1"/>
      <c r="S208" s="1"/>
      <c r="X208" s="1"/>
      <c r="Y208" s="1"/>
      <c r="AC208" s="1"/>
    </row>
    <row r="209" customFormat="false" ht="12.8" hidden="false" customHeight="false" outlineLevel="0" collapsed="false">
      <c r="A209" s="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N209" s="1"/>
      <c r="O209" s="1"/>
      <c r="P209" s="1"/>
      <c r="R209" s="1"/>
      <c r="S209" s="1"/>
      <c r="X209" s="1"/>
      <c r="Y209" s="1"/>
      <c r="AC209" s="1"/>
    </row>
    <row r="210" customFormat="false" ht="12.8" hidden="false" customHeight="false" outlineLevel="0" collapsed="false">
      <c r="A210" s="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N210" s="1"/>
      <c r="O210" s="1"/>
      <c r="P210" s="1"/>
      <c r="R210" s="1"/>
      <c r="S210" s="1"/>
      <c r="X210" s="1"/>
      <c r="Y210" s="1"/>
      <c r="AC210" s="1"/>
    </row>
    <row r="211" customFormat="false" ht="12.8" hidden="false" customHeight="false" outlineLevel="0" collapsed="false">
      <c r="A211" s="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N211" s="1"/>
      <c r="O211" s="1"/>
      <c r="P211" s="1"/>
      <c r="R211" s="1"/>
      <c r="S211" s="1"/>
      <c r="X211" s="1"/>
      <c r="Y211" s="1"/>
      <c r="AC211" s="1"/>
    </row>
    <row r="212" customFormat="false" ht="12.8" hidden="false" customHeight="false" outlineLevel="0" collapsed="false">
      <c r="A212" s="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N212" s="1"/>
      <c r="O212" s="1"/>
      <c r="P212" s="1"/>
      <c r="R212" s="1"/>
      <c r="S212" s="1"/>
      <c r="X212" s="1"/>
      <c r="Y212" s="1"/>
      <c r="AC212" s="1"/>
    </row>
    <row r="213" customFormat="false" ht="12.8" hidden="false" customHeight="false" outlineLevel="0" collapsed="false">
      <c r="A213" s="3"/>
      <c r="B213" s="1"/>
      <c r="C213" s="1"/>
      <c r="D213" s="1"/>
      <c r="E213" s="1"/>
      <c r="F213" s="1"/>
      <c r="G213" s="1"/>
      <c r="H213" s="1"/>
      <c r="I213" s="1"/>
      <c r="K213" s="1"/>
      <c r="L213" s="1"/>
      <c r="N213" s="1"/>
      <c r="O213" s="1"/>
      <c r="P213" s="1"/>
      <c r="R213" s="1"/>
      <c r="S213" s="1"/>
      <c r="X213" s="1"/>
      <c r="AC213" s="1"/>
    </row>
    <row r="214" customFormat="false" ht="12.8" hidden="false" customHeight="false" outlineLevel="0" collapsed="false">
      <c r="A214" s="3"/>
      <c r="B214" s="1"/>
      <c r="C214" s="1"/>
      <c r="D214" s="1"/>
      <c r="E214" s="1"/>
      <c r="F214" s="1"/>
      <c r="G214" s="1"/>
      <c r="H214" s="1"/>
      <c r="I214" s="1"/>
      <c r="K214" s="1"/>
      <c r="L214" s="1"/>
      <c r="N214" s="1"/>
      <c r="O214" s="1"/>
      <c r="P214" s="1"/>
      <c r="R214" s="1"/>
      <c r="S214" s="1"/>
      <c r="X214" s="1"/>
      <c r="AC214" s="1"/>
    </row>
    <row r="215" customFormat="false" ht="12.8" hidden="false" customHeight="false" outlineLevel="0" collapsed="false">
      <c r="A215" s="3"/>
      <c r="B215" s="1"/>
      <c r="C215" s="1"/>
      <c r="D215" s="1"/>
      <c r="E215" s="1"/>
      <c r="F215" s="1"/>
      <c r="G215" s="1"/>
      <c r="H215" s="1"/>
      <c r="I215" s="1"/>
      <c r="K215" s="1"/>
      <c r="L215" s="1"/>
      <c r="N215" s="1"/>
      <c r="O215" s="1"/>
      <c r="P215" s="1"/>
      <c r="R215" s="1"/>
      <c r="S215" s="1"/>
      <c r="X215" s="1"/>
      <c r="Y215" s="1"/>
      <c r="AC215" s="1"/>
    </row>
    <row r="216" customFormat="false" ht="12.8" hidden="false" customHeight="false" outlineLevel="0" collapsed="false">
      <c r="A216" s="3"/>
      <c r="B216" s="1"/>
      <c r="C216" s="1"/>
      <c r="D216" s="1"/>
      <c r="E216" s="1"/>
      <c r="F216" s="1"/>
      <c r="G216" s="1"/>
      <c r="H216" s="1"/>
      <c r="I216" s="1"/>
      <c r="K216" s="1"/>
      <c r="L216" s="1"/>
      <c r="N216" s="1"/>
      <c r="O216" s="1"/>
      <c r="P216" s="1"/>
      <c r="R216" s="1"/>
      <c r="S216" s="1"/>
      <c r="X216" s="1"/>
      <c r="Y216" s="1"/>
      <c r="AC216" s="1"/>
    </row>
    <row r="217" customFormat="false" ht="12.8" hidden="false" customHeight="false" outlineLevel="0" collapsed="false">
      <c r="A217" s="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N217" s="1"/>
      <c r="O217" s="1"/>
      <c r="P217" s="1"/>
      <c r="R217" s="1"/>
      <c r="S217" s="1"/>
      <c r="X217" s="1"/>
      <c r="AC217" s="1"/>
    </row>
    <row r="218" customFormat="false" ht="12.8" hidden="false" customHeight="false" outlineLevel="0" collapsed="false">
      <c r="A218" s="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N218" s="1"/>
      <c r="O218" s="1"/>
      <c r="P218" s="1"/>
      <c r="R218" s="1"/>
      <c r="S218" s="1"/>
      <c r="X218" s="1"/>
      <c r="AC218" s="1"/>
    </row>
    <row r="219" customFormat="false" ht="12.8" hidden="false" customHeight="false" outlineLevel="0" collapsed="false">
      <c r="A219" s="3"/>
      <c r="B219" s="1"/>
      <c r="C219" s="1"/>
      <c r="D219" s="1"/>
      <c r="E219" s="1"/>
      <c r="F219" s="1"/>
      <c r="G219" s="1"/>
      <c r="H219" s="1"/>
      <c r="I219" s="1"/>
      <c r="K219" s="1"/>
      <c r="L219" s="1"/>
      <c r="N219" s="1"/>
      <c r="O219" s="1"/>
      <c r="P219" s="1"/>
      <c r="R219" s="1"/>
      <c r="S219" s="1"/>
      <c r="X219" s="1"/>
      <c r="AC219" s="1"/>
    </row>
    <row r="220" customFormat="false" ht="12.8" hidden="false" customHeight="false" outlineLevel="0" collapsed="false">
      <c r="A220" s="3"/>
      <c r="B220" s="1"/>
      <c r="C220" s="1"/>
      <c r="D220" s="1"/>
      <c r="E220" s="1"/>
      <c r="F220" s="1"/>
      <c r="G220" s="1"/>
      <c r="H220" s="1"/>
      <c r="I220" s="1"/>
      <c r="K220" s="1"/>
      <c r="L220" s="1"/>
      <c r="N220" s="1"/>
      <c r="O220" s="1"/>
      <c r="P220" s="1"/>
      <c r="R220" s="1"/>
      <c r="S220" s="1"/>
      <c r="X220" s="1"/>
      <c r="AC220" s="1"/>
    </row>
    <row r="221" customFormat="false" ht="12.8" hidden="false" customHeight="false" outlineLevel="0" collapsed="false">
      <c r="A221" s="3"/>
      <c r="B221" s="1"/>
      <c r="C221" s="1"/>
      <c r="D221" s="1"/>
      <c r="E221" s="1"/>
      <c r="F221" s="1"/>
      <c r="G221" s="1"/>
      <c r="H221" s="1"/>
      <c r="I221" s="1"/>
      <c r="K221" s="1"/>
      <c r="L221" s="1"/>
      <c r="N221" s="1"/>
      <c r="O221" s="1"/>
      <c r="P221" s="1"/>
      <c r="R221" s="1"/>
      <c r="S221" s="1"/>
      <c r="X221" s="1"/>
      <c r="AC221" s="1"/>
    </row>
    <row r="222" customFormat="false" ht="12.8" hidden="false" customHeight="false" outlineLevel="0" collapsed="false">
      <c r="A222" s="3"/>
      <c r="B222" s="1"/>
      <c r="C222" s="1"/>
      <c r="D222" s="1"/>
      <c r="E222" s="1"/>
      <c r="F222" s="1"/>
      <c r="G222" s="1"/>
      <c r="H222" s="1"/>
      <c r="I222" s="1"/>
      <c r="K222" s="1"/>
      <c r="L222" s="1"/>
      <c r="N222" s="1"/>
      <c r="O222" s="1"/>
      <c r="P222" s="1"/>
      <c r="R222" s="1"/>
      <c r="S222" s="1"/>
      <c r="X222" s="1"/>
      <c r="AC222" s="1"/>
    </row>
    <row r="223" customFormat="false" ht="12.8" hidden="false" customHeight="false" outlineLevel="0" collapsed="false">
      <c r="A223" s="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N223" s="1"/>
      <c r="O223" s="1"/>
      <c r="P223" s="1"/>
      <c r="R223" s="1"/>
      <c r="S223" s="1"/>
      <c r="X223" s="1"/>
      <c r="Y223" s="1"/>
      <c r="AC223" s="1"/>
    </row>
    <row r="224" customFormat="false" ht="12.8" hidden="false" customHeight="false" outlineLevel="0" collapsed="false">
      <c r="A224" s="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N224" s="1"/>
      <c r="O224" s="1"/>
      <c r="P224" s="1"/>
      <c r="R224" s="1"/>
      <c r="S224" s="1"/>
      <c r="X224" s="1"/>
      <c r="Y224" s="1"/>
      <c r="AC224" s="1"/>
    </row>
    <row r="225" customFormat="false" ht="12.8" hidden="false" customHeight="false" outlineLevel="0" collapsed="false">
      <c r="A225" s="3"/>
      <c r="B225" s="1"/>
      <c r="C225" s="1"/>
      <c r="D225" s="1"/>
      <c r="E225" s="1"/>
      <c r="F225" s="1"/>
      <c r="G225" s="1"/>
      <c r="H225" s="1"/>
      <c r="I225" s="1"/>
      <c r="K225" s="1"/>
      <c r="L225" s="1"/>
      <c r="N225" s="1"/>
      <c r="O225" s="1"/>
      <c r="P225" s="1"/>
      <c r="R225" s="1"/>
      <c r="S225" s="1"/>
      <c r="X225" s="1"/>
      <c r="Y225" s="1"/>
      <c r="AC225" s="1"/>
    </row>
    <row r="226" customFormat="false" ht="12.8" hidden="false" customHeight="false" outlineLevel="0" collapsed="false">
      <c r="A226" s="3"/>
      <c r="B226" s="1"/>
      <c r="C226" s="1"/>
      <c r="D226" s="1"/>
      <c r="E226" s="1"/>
      <c r="F226" s="1"/>
      <c r="G226" s="1"/>
      <c r="H226" s="1"/>
      <c r="I226" s="1"/>
      <c r="K226" s="1"/>
      <c r="L226" s="1"/>
      <c r="N226" s="1"/>
      <c r="O226" s="1"/>
      <c r="P226" s="1"/>
      <c r="R226" s="1"/>
      <c r="S226" s="1"/>
      <c r="X226" s="1"/>
      <c r="Y226" s="1"/>
      <c r="AC226" s="1"/>
    </row>
    <row r="227" customFormat="false" ht="12.8" hidden="false" customHeight="false" outlineLevel="0" collapsed="false">
      <c r="A227" s="3"/>
      <c r="B227" s="1"/>
      <c r="C227" s="1"/>
      <c r="D227" s="1"/>
      <c r="E227" s="1"/>
      <c r="F227" s="1"/>
      <c r="G227" s="1"/>
      <c r="H227" s="1"/>
      <c r="I227" s="1"/>
      <c r="K227" s="1"/>
      <c r="L227" s="1"/>
      <c r="N227" s="1"/>
      <c r="O227" s="1"/>
      <c r="P227" s="1"/>
      <c r="R227" s="1"/>
      <c r="S227" s="1"/>
      <c r="X227" s="1"/>
      <c r="Y227" s="1"/>
      <c r="AC227" s="1"/>
    </row>
    <row r="228" customFormat="false" ht="12.8" hidden="false" customHeight="false" outlineLevel="0" collapsed="false">
      <c r="A228" s="3"/>
      <c r="B228" s="1"/>
      <c r="C228" s="1"/>
      <c r="D228" s="1"/>
      <c r="E228" s="1"/>
      <c r="F228" s="1"/>
      <c r="G228" s="1"/>
      <c r="H228" s="1"/>
      <c r="I228" s="1"/>
      <c r="K228" s="1"/>
      <c r="L228" s="1"/>
      <c r="N228" s="1"/>
      <c r="O228" s="1"/>
      <c r="P228" s="1"/>
      <c r="R228" s="1"/>
      <c r="S228" s="1"/>
      <c r="X228" s="1"/>
      <c r="Y228" s="1"/>
      <c r="AC228" s="1"/>
    </row>
    <row r="229" customFormat="false" ht="12.8" hidden="false" customHeight="false" outlineLevel="0" collapsed="false">
      <c r="A229" s="3"/>
      <c r="B229" s="1"/>
      <c r="C229" s="1"/>
      <c r="D229" s="1"/>
      <c r="E229" s="1"/>
      <c r="F229" s="1"/>
      <c r="G229" s="1"/>
      <c r="H229" s="1"/>
      <c r="I229" s="1"/>
      <c r="K229" s="1"/>
      <c r="L229" s="1"/>
      <c r="N229" s="1"/>
      <c r="O229" s="1"/>
      <c r="P229" s="1"/>
      <c r="R229" s="1"/>
      <c r="S229" s="1"/>
      <c r="X229" s="1"/>
      <c r="Y229" s="1"/>
      <c r="AC229" s="1"/>
    </row>
    <row r="230" customFormat="false" ht="12.8" hidden="false" customHeight="false" outlineLevel="0" collapsed="false">
      <c r="A230" s="3"/>
      <c r="B230" s="1"/>
      <c r="C230" s="1"/>
      <c r="D230" s="1"/>
      <c r="E230" s="1"/>
      <c r="F230" s="1"/>
      <c r="G230" s="1"/>
      <c r="H230" s="1"/>
      <c r="I230" s="1"/>
      <c r="K230" s="1"/>
      <c r="L230" s="1"/>
      <c r="N230" s="1"/>
      <c r="O230" s="1"/>
      <c r="P230" s="1"/>
      <c r="R230" s="1"/>
      <c r="S230" s="1"/>
      <c r="X230" s="1"/>
      <c r="Y230" s="1"/>
      <c r="AC230" s="1"/>
    </row>
    <row r="231" customFormat="false" ht="12.8" hidden="false" customHeight="false" outlineLevel="0" collapsed="false">
      <c r="A231" s="3"/>
      <c r="B231" s="1"/>
      <c r="C231" s="1"/>
      <c r="D231" s="1"/>
      <c r="E231" s="1"/>
      <c r="F231" s="1"/>
      <c r="G231" s="1"/>
      <c r="H231" s="1"/>
      <c r="I231" s="1"/>
      <c r="K231" s="1"/>
      <c r="L231" s="1"/>
      <c r="N231" s="1"/>
      <c r="O231" s="1"/>
      <c r="P231" s="1"/>
      <c r="R231" s="1"/>
      <c r="S231" s="1"/>
      <c r="X231" s="1"/>
      <c r="Y231" s="1"/>
      <c r="AC231" s="1"/>
    </row>
    <row r="232" customFormat="false" ht="12.8" hidden="false" customHeight="false" outlineLevel="0" collapsed="false">
      <c r="A232" s="3"/>
      <c r="B232" s="1"/>
      <c r="C232" s="1"/>
      <c r="D232" s="1"/>
      <c r="E232" s="1"/>
      <c r="F232" s="1"/>
      <c r="G232" s="1"/>
      <c r="H232" s="1"/>
      <c r="I232" s="1"/>
      <c r="K232" s="1"/>
      <c r="L232" s="1"/>
      <c r="N232" s="1"/>
      <c r="O232" s="1"/>
      <c r="P232" s="1"/>
      <c r="R232" s="1"/>
      <c r="S232" s="1"/>
      <c r="X232" s="1"/>
      <c r="Y232" s="1"/>
      <c r="AC232" s="1"/>
    </row>
    <row r="233" customFormat="false" ht="12.8" hidden="false" customHeight="false" outlineLevel="0" collapsed="false">
      <c r="A233" s="3"/>
      <c r="B233" s="1"/>
      <c r="C233" s="1"/>
      <c r="D233" s="1"/>
      <c r="E233" s="1"/>
      <c r="F233" s="1"/>
      <c r="G233" s="1"/>
      <c r="H233" s="1"/>
      <c r="I233" s="1"/>
      <c r="K233" s="1"/>
      <c r="L233" s="1"/>
      <c r="N233" s="1"/>
      <c r="O233" s="1"/>
      <c r="P233" s="1"/>
      <c r="R233" s="1"/>
      <c r="S233" s="1"/>
      <c r="X233" s="1"/>
      <c r="Y233" s="1"/>
      <c r="AC233" s="1"/>
    </row>
    <row r="234" customFormat="false" ht="12.8" hidden="false" customHeight="false" outlineLevel="0" collapsed="false">
      <c r="A234" s="3"/>
      <c r="B234" s="1"/>
      <c r="C234" s="1"/>
      <c r="D234" s="1"/>
      <c r="E234" s="1"/>
      <c r="F234" s="1"/>
      <c r="G234" s="1"/>
      <c r="H234" s="1"/>
      <c r="I234" s="1"/>
      <c r="K234" s="1"/>
      <c r="L234" s="1"/>
      <c r="N234" s="1"/>
      <c r="O234" s="1"/>
      <c r="P234" s="1"/>
      <c r="R234" s="1"/>
      <c r="S234" s="1"/>
      <c r="X234" s="1"/>
      <c r="Y234" s="1"/>
      <c r="AC234" s="1"/>
    </row>
    <row r="235" customFormat="false" ht="12.8" hidden="false" customHeight="false" outlineLevel="0" collapsed="false">
      <c r="A235" s="3"/>
      <c r="B235" s="1"/>
      <c r="C235" s="1"/>
      <c r="D235" s="1"/>
      <c r="E235" s="1"/>
      <c r="F235" s="1"/>
      <c r="G235" s="1"/>
      <c r="H235" s="1"/>
      <c r="I235" s="1"/>
      <c r="K235" s="1"/>
      <c r="L235" s="1"/>
      <c r="N235" s="1"/>
      <c r="O235" s="1"/>
      <c r="P235" s="1"/>
      <c r="R235" s="1"/>
      <c r="S235" s="1"/>
      <c r="X235" s="1"/>
      <c r="Y235" s="1"/>
      <c r="AC235" s="1"/>
    </row>
    <row r="236" customFormat="false" ht="12.8" hidden="false" customHeight="false" outlineLevel="0" collapsed="false">
      <c r="A236" s="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N236" s="1"/>
      <c r="O236" s="1"/>
      <c r="P236" s="1"/>
      <c r="R236" s="1"/>
      <c r="S236" s="1"/>
      <c r="X236" s="1"/>
      <c r="Y236" s="1"/>
      <c r="AB236" s="1"/>
      <c r="AC236" s="1"/>
    </row>
    <row r="237" customFormat="false" ht="12.8" hidden="false" customHeight="false" outlineLevel="0" collapsed="false">
      <c r="A237" s="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N237" s="1"/>
      <c r="O237" s="1"/>
      <c r="P237" s="1"/>
      <c r="R237" s="1"/>
      <c r="S237" s="1"/>
      <c r="X237" s="1"/>
      <c r="Y237" s="1"/>
      <c r="AB237" s="1"/>
      <c r="AC237" s="1"/>
    </row>
    <row r="238" customFormat="false" ht="12.8" hidden="false" customHeight="false" outlineLevel="0" collapsed="false">
      <c r="A238" s="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O238" s="1"/>
      <c r="P238" s="1"/>
      <c r="R238" s="1"/>
      <c r="S238" s="1"/>
      <c r="X238" s="1"/>
      <c r="Y238" s="1"/>
      <c r="AB238" s="1"/>
      <c r="AC238" s="1"/>
    </row>
    <row r="239" customFormat="false" ht="12.8" hidden="false" customHeight="false" outlineLevel="0" collapsed="false">
      <c r="A239" s="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N239" s="1"/>
      <c r="O239" s="1"/>
      <c r="P239" s="1"/>
      <c r="R239" s="1"/>
      <c r="S239" s="1"/>
      <c r="X239" s="1"/>
      <c r="Y239" s="1"/>
      <c r="AB239" s="1"/>
      <c r="AC239" s="1"/>
    </row>
    <row r="240" customFormat="false" ht="12.8" hidden="false" customHeight="false" outlineLevel="0" collapsed="false">
      <c r="A240" s="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N240" s="1"/>
      <c r="O240" s="1"/>
      <c r="P240" s="1"/>
      <c r="R240" s="1"/>
      <c r="S240" s="1"/>
      <c r="X240" s="1"/>
      <c r="Y240" s="1"/>
      <c r="AB240" s="1"/>
      <c r="AC240" s="1"/>
    </row>
    <row r="241" customFormat="false" ht="12.8" hidden="false" customHeight="false" outlineLevel="0" collapsed="false">
      <c r="A241" s="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N241" s="1"/>
      <c r="O241" s="1"/>
      <c r="P241" s="1"/>
      <c r="R241" s="1"/>
      <c r="S241" s="1"/>
      <c r="X241" s="1"/>
      <c r="Y241" s="1"/>
      <c r="AB241" s="1"/>
      <c r="AC241" s="1"/>
    </row>
    <row r="242" customFormat="false" ht="12.8" hidden="false" customHeight="false" outlineLevel="0" collapsed="false">
      <c r="A242" s="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N242" s="1"/>
      <c r="O242" s="1"/>
      <c r="P242" s="1"/>
      <c r="R242" s="1"/>
      <c r="S242" s="1"/>
      <c r="X242" s="1"/>
      <c r="Y242" s="1"/>
      <c r="AB242" s="1"/>
      <c r="AC242" s="1"/>
    </row>
    <row r="243" customFormat="false" ht="12.8" hidden="false" customHeight="false" outlineLevel="0" collapsed="false">
      <c r="A243" s="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N243" s="1"/>
      <c r="O243" s="1"/>
      <c r="P243" s="1"/>
      <c r="R243" s="1"/>
      <c r="S243" s="1"/>
      <c r="X243" s="1"/>
      <c r="Y243" s="1"/>
      <c r="AB243" s="1"/>
      <c r="AC243" s="1"/>
    </row>
    <row r="244" customFormat="false" ht="12.8" hidden="false" customHeight="false" outlineLevel="0" collapsed="false">
      <c r="A244" s="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N244" s="1"/>
      <c r="O244" s="1"/>
      <c r="P244" s="1"/>
      <c r="R244" s="1"/>
      <c r="S244" s="1"/>
      <c r="X244" s="1"/>
      <c r="Y244" s="1"/>
      <c r="AB244" s="1"/>
      <c r="AC244" s="1"/>
    </row>
    <row r="245" customFormat="false" ht="12.8" hidden="false" customHeight="false" outlineLevel="0" collapsed="false">
      <c r="A245" s="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N245" s="1"/>
      <c r="O245" s="1"/>
      <c r="P245" s="1"/>
      <c r="R245" s="1"/>
      <c r="S245" s="1"/>
      <c r="X245" s="1"/>
      <c r="Y245" s="1"/>
      <c r="AB245" s="1"/>
      <c r="AC245" s="1"/>
    </row>
    <row r="246" customFormat="false" ht="12.8" hidden="false" customHeight="false" outlineLevel="0" collapsed="false">
      <c r="A246" s="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N246" s="1"/>
      <c r="O246" s="1"/>
      <c r="P246" s="1"/>
      <c r="R246" s="1"/>
      <c r="S246" s="1"/>
      <c r="X246" s="1"/>
      <c r="Y246" s="1"/>
      <c r="AB246" s="1"/>
      <c r="AC246" s="1"/>
    </row>
    <row r="247" customFormat="false" ht="12.8" hidden="false" customHeight="false" outlineLevel="0" collapsed="false">
      <c r="A247" s="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N247" s="1"/>
      <c r="O247" s="1"/>
      <c r="P247" s="1"/>
      <c r="R247" s="1"/>
      <c r="S247" s="1"/>
      <c r="X247" s="1"/>
      <c r="Y247" s="1"/>
      <c r="AB247" s="1"/>
      <c r="AC247" s="1"/>
    </row>
    <row r="248" customFormat="false" ht="12.8" hidden="false" customHeight="false" outlineLevel="0" collapsed="false">
      <c r="A248" s="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N248" s="1"/>
      <c r="O248" s="1"/>
      <c r="P248" s="1"/>
      <c r="R248" s="1"/>
      <c r="S248" s="1"/>
      <c r="X248" s="1"/>
      <c r="Y248" s="1"/>
      <c r="AB248" s="1"/>
      <c r="AC248" s="1"/>
    </row>
    <row r="249" customFormat="false" ht="12.8" hidden="false" customHeight="false" outlineLevel="0" collapsed="false">
      <c r="A249" s="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N249" s="1"/>
      <c r="O249" s="1"/>
      <c r="P249" s="1"/>
      <c r="R249" s="1"/>
      <c r="S249" s="1"/>
      <c r="X249" s="1"/>
      <c r="Y249" s="1"/>
      <c r="AB249" s="1"/>
      <c r="AC249" s="1"/>
    </row>
    <row r="250" customFormat="false" ht="12.8" hidden="false" customHeight="false" outlineLevel="0" collapsed="false">
      <c r="A250" s="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N250" s="1"/>
      <c r="O250" s="1"/>
      <c r="P250" s="1"/>
      <c r="R250" s="1"/>
      <c r="S250" s="1"/>
      <c r="X250" s="1"/>
      <c r="Y250" s="1"/>
      <c r="AB250" s="1"/>
      <c r="AC250" s="1"/>
    </row>
    <row r="251" customFormat="false" ht="12.8" hidden="false" customHeight="false" outlineLevel="0" collapsed="false">
      <c r="A251" s="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N251" s="1"/>
      <c r="O251" s="1"/>
      <c r="P251" s="1"/>
      <c r="R251" s="1"/>
      <c r="S251" s="1"/>
      <c r="X251" s="1"/>
      <c r="Y251" s="1"/>
      <c r="AB251" s="1"/>
      <c r="AC251" s="1"/>
    </row>
    <row r="252" customFormat="false" ht="12.8" hidden="false" customHeight="false" outlineLevel="0" collapsed="false">
      <c r="A252" s="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N252" s="1"/>
      <c r="O252" s="1"/>
      <c r="P252" s="1"/>
      <c r="R252" s="1"/>
      <c r="S252" s="1"/>
      <c r="X252" s="1"/>
      <c r="Y252" s="1"/>
      <c r="AB252" s="1"/>
      <c r="AC252" s="1"/>
    </row>
    <row r="253" customFormat="false" ht="12.8" hidden="false" customHeight="false" outlineLevel="0" collapsed="false">
      <c r="A253" s="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N253" s="1"/>
      <c r="O253" s="1"/>
      <c r="P253" s="1"/>
      <c r="R253" s="1"/>
      <c r="S253" s="1"/>
      <c r="X253" s="1"/>
      <c r="Y253" s="1"/>
      <c r="AC253" s="1"/>
    </row>
    <row r="254" customFormat="false" ht="12.8" hidden="false" customHeight="false" outlineLevel="0" collapsed="false">
      <c r="A254" s="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N254" s="1"/>
      <c r="O254" s="1"/>
      <c r="P254" s="1"/>
      <c r="R254" s="1"/>
      <c r="S254" s="1"/>
      <c r="X254" s="1"/>
      <c r="Y254" s="1"/>
      <c r="AC254" s="1"/>
    </row>
    <row r="255" customFormat="false" ht="12.8" hidden="false" customHeight="false" outlineLevel="0" collapsed="false">
      <c r="A255" s="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O255" s="1"/>
      <c r="P255" s="1"/>
      <c r="R255" s="1"/>
      <c r="S255" s="1"/>
      <c r="X255" s="1"/>
      <c r="Y255" s="1"/>
      <c r="AC255" s="1"/>
    </row>
    <row r="256" customFormat="false" ht="12.8" hidden="false" customHeight="false" outlineLevel="0" collapsed="false">
      <c r="A256" s="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N256" s="1"/>
      <c r="O256" s="1"/>
      <c r="P256" s="1"/>
      <c r="R256" s="1"/>
      <c r="S256" s="1"/>
      <c r="X256" s="1"/>
      <c r="Y256" s="1"/>
      <c r="AC256" s="1"/>
    </row>
    <row r="257" customFormat="false" ht="12.8" hidden="false" customHeight="false" outlineLevel="0" collapsed="false">
      <c r="A257" s="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N257" s="1"/>
      <c r="O257" s="1"/>
      <c r="P257" s="1"/>
      <c r="R257" s="1"/>
      <c r="S257" s="1"/>
      <c r="X257" s="1"/>
      <c r="Y257" s="1"/>
      <c r="AC257" s="1"/>
    </row>
    <row r="258" customFormat="false" ht="12.8" hidden="false" customHeight="false" outlineLevel="0" collapsed="false">
      <c r="A258" s="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N258" s="1"/>
      <c r="O258" s="1"/>
      <c r="P258" s="1"/>
      <c r="R258" s="1"/>
      <c r="S258" s="1"/>
      <c r="X258" s="1"/>
      <c r="Y258" s="1"/>
      <c r="AC258" s="1"/>
    </row>
    <row r="259" customFormat="false" ht="12.8" hidden="false" customHeight="false" outlineLevel="0" collapsed="false">
      <c r="A259" s="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N259" s="1"/>
      <c r="O259" s="1"/>
      <c r="P259" s="1"/>
      <c r="R259" s="1"/>
      <c r="S259" s="1"/>
      <c r="X259" s="1"/>
      <c r="Y259" s="1"/>
      <c r="AC259" s="1"/>
    </row>
    <row r="260" customFormat="false" ht="12.8" hidden="false" customHeight="false" outlineLevel="0" collapsed="false">
      <c r="A260" s="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N260" s="1"/>
      <c r="O260" s="1"/>
      <c r="P260" s="1"/>
      <c r="R260" s="1"/>
      <c r="S260" s="1"/>
      <c r="X260" s="1"/>
      <c r="Y260" s="1"/>
      <c r="AC260" s="1"/>
    </row>
    <row r="261" customFormat="false" ht="12.8" hidden="false" customHeight="false" outlineLevel="0" collapsed="false">
      <c r="A261" s="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N261" s="1"/>
      <c r="O261" s="1"/>
      <c r="P261" s="1"/>
      <c r="R261" s="1"/>
      <c r="S261" s="1"/>
      <c r="X261" s="1"/>
      <c r="Y261" s="1"/>
      <c r="AC261" s="1"/>
    </row>
    <row r="262" customFormat="false" ht="12.8" hidden="false" customHeight="false" outlineLevel="0" collapsed="false">
      <c r="A262" s="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N262" s="1"/>
      <c r="O262" s="1"/>
      <c r="P262" s="1"/>
      <c r="R262" s="1"/>
      <c r="S262" s="1"/>
      <c r="X262" s="1"/>
      <c r="Y262" s="1"/>
      <c r="AC262" s="1"/>
    </row>
    <row r="263" customFormat="false" ht="12.8" hidden="false" customHeight="false" outlineLevel="0" collapsed="false">
      <c r="A263" s="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N263" s="1"/>
      <c r="O263" s="1"/>
      <c r="P263" s="1"/>
      <c r="R263" s="1"/>
      <c r="S263" s="1"/>
      <c r="X263" s="1"/>
      <c r="Y263" s="1"/>
      <c r="AC263" s="1"/>
    </row>
    <row r="264" customFormat="false" ht="12.8" hidden="false" customHeight="false" outlineLevel="0" collapsed="false">
      <c r="A264" s="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N264" s="1"/>
      <c r="O264" s="1"/>
      <c r="P264" s="1"/>
      <c r="R264" s="1"/>
      <c r="S264" s="1"/>
      <c r="X264" s="1"/>
      <c r="Y264" s="1"/>
      <c r="AC264" s="1"/>
    </row>
    <row r="265" customFormat="false" ht="12.8" hidden="false" customHeight="false" outlineLevel="0" collapsed="false">
      <c r="A265" s="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N265" s="1"/>
      <c r="O265" s="1"/>
      <c r="P265" s="1"/>
      <c r="R265" s="1"/>
      <c r="S265" s="1"/>
      <c r="X265" s="1"/>
      <c r="Y265" s="1"/>
      <c r="AC265" s="1"/>
    </row>
    <row r="266" customFormat="false" ht="12.8" hidden="false" customHeight="false" outlineLevel="0" collapsed="false">
      <c r="A266" s="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N266" s="1"/>
      <c r="O266" s="1"/>
      <c r="P266" s="1"/>
      <c r="R266" s="1"/>
      <c r="S266" s="1"/>
      <c r="X266" s="1"/>
      <c r="Y266" s="1"/>
      <c r="AC266" s="1"/>
    </row>
    <row r="267" customFormat="false" ht="12.8" hidden="false" customHeight="false" outlineLevel="0" collapsed="false">
      <c r="A267" s="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N267" s="1"/>
      <c r="O267" s="1"/>
      <c r="P267" s="1"/>
      <c r="R267" s="1"/>
      <c r="S267" s="1"/>
      <c r="X267" s="1"/>
      <c r="Y267" s="1"/>
      <c r="AC267" s="1"/>
    </row>
    <row r="268" customFormat="false" ht="12.8" hidden="false" customHeight="false" outlineLevel="0" collapsed="false">
      <c r="A268" s="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N268" s="1"/>
      <c r="O268" s="1"/>
      <c r="P268" s="1"/>
      <c r="R268" s="1"/>
      <c r="S268" s="1"/>
      <c r="X268" s="1"/>
      <c r="Y268" s="1"/>
      <c r="AC268" s="1"/>
    </row>
    <row r="269" customFormat="false" ht="12.8" hidden="false" customHeight="false" outlineLevel="0" collapsed="false">
      <c r="A269" s="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N269" s="1"/>
      <c r="O269" s="1"/>
      <c r="P269" s="1"/>
      <c r="R269" s="1"/>
      <c r="S269" s="1"/>
      <c r="X269" s="1"/>
      <c r="Y269" s="1"/>
      <c r="AC269" s="1"/>
    </row>
    <row r="270" customFormat="false" ht="12.8" hidden="false" customHeight="false" outlineLevel="0" collapsed="false">
      <c r="A270" s="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N270" s="1"/>
      <c r="O270" s="1"/>
      <c r="P270" s="1"/>
      <c r="R270" s="1"/>
      <c r="S270" s="1"/>
      <c r="X270" s="1"/>
      <c r="Y270" s="1"/>
      <c r="AC270" s="1"/>
    </row>
    <row r="271" customFormat="false" ht="12.8" hidden="false" customHeight="false" outlineLevel="0" collapsed="false">
      <c r="A271" s="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N271" s="1"/>
      <c r="O271" s="1"/>
      <c r="P271" s="1"/>
      <c r="R271" s="1"/>
      <c r="S271" s="1"/>
      <c r="X271" s="1"/>
      <c r="Y271" s="1"/>
      <c r="AC271" s="1"/>
    </row>
    <row r="272" customFormat="false" ht="12.8" hidden="false" customHeight="false" outlineLevel="0" collapsed="false">
      <c r="A272" s="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O272" s="1"/>
      <c r="P272" s="1"/>
      <c r="R272" s="1"/>
      <c r="S272" s="1"/>
      <c r="X272" s="1"/>
      <c r="Y272" s="1"/>
      <c r="AC272" s="1"/>
    </row>
    <row r="273" customFormat="false" ht="12.8" hidden="false" customHeight="false" outlineLevel="0" collapsed="false">
      <c r="A273" s="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N273" s="1"/>
      <c r="O273" s="1"/>
      <c r="P273" s="1"/>
      <c r="R273" s="1"/>
      <c r="S273" s="1"/>
      <c r="X273" s="1"/>
      <c r="Y273" s="1"/>
      <c r="AC273" s="1"/>
    </row>
    <row r="274" customFormat="false" ht="12.8" hidden="false" customHeight="false" outlineLevel="0" collapsed="false">
      <c r="A274" s="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N274" s="1"/>
      <c r="O274" s="1"/>
      <c r="P274" s="1"/>
      <c r="R274" s="1"/>
      <c r="S274" s="1"/>
      <c r="X274" s="1"/>
      <c r="Y274" s="1"/>
      <c r="AC274" s="1"/>
    </row>
    <row r="275" customFormat="false" ht="12.8" hidden="false" customHeight="false" outlineLevel="0" collapsed="false">
      <c r="A275" s="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N275" s="1"/>
      <c r="O275" s="1"/>
      <c r="P275" s="1"/>
      <c r="R275" s="1"/>
      <c r="S275" s="1"/>
      <c r="X275" s="1"/>
      <c r="Y275" s="1"/>
      <c r="AC275" s="1"/>
    </row>
    <row r="276" customFormat="false" ht="12.8" hidden="false" customHeight="false" outlineLevel="0" collapsed="false">
      <c r="A276" s="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N276" s="1"/>
      <c r="O276" s="1"/>
      <c r="P276" s="1"/>
      <c r="R276" s="1"/>
      <c r="S276" s="1"/>
      <c r="X276" s="1"/>
      <c r="Y276" s="1"/>
      <c r="AC276" s="1"/>
    </row>
    <row r="277" customFormat="false" ht="12.8" hidden="false" customHeight="false" outlineLevel="0" collapsed="false">
      <c r="A277" s="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N277" s="1"/>
      <c r="O277" s="1"/>
      <c r="P277" s="1"/>
      <c r="R277" s="1"/>
      <c r="S277" s="1"/>
      <c r="X277" s="1"/>
      <c r="Y277" s="1"/>
      <c r="AC277" s="1"/>
    </row>
    <row r="278" customFormat="false" ht="12.8" hidden="false" customHeight="false" outlineLevel="0" collapsed="false">
      <c r="A278" s="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N278" s="1"/>
      <c r="O278" s="1"/>
      <c r="P278" s="1"/>
      <c r="R278" s="1"/>
      <c r="S278" s="1"/>
      <c r="X278" s="1"/>
      <c r="Y278" s="1"/>
      <c r="AC278" s="1"/>
    </row>
    <row r="279" customFormat="false" ht="12.8" hidden="false" customHeight="false" outlineLevel="0" collapsed="false">
      <c r="A279" s="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N279" s="1"/>
      <c r="O279" s="1"/>
      <c r="P279" s="1"/>
      <c r="R279" s="1"/>
      <c r="S279" s="1"/>
      <c r="X279" s="1"/>
      <c r="Y279" s="1"/>
      <c r="AC279" s="1"/>
    </row>
    <row r="280" customFormat="false" ht="12.8" hidden="false" customHeight="false" outlineLevel="0" collapsed="false">
      <c r="A280" s="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N280" s="1"/>
      <c r="O280" s="1"/>
      <c r="P280" s="1"/>
      <c r="R280" s="1"/>
      <c r="S280" s="1"/>
      <c r="X280" s="1"/>
      <c r="Y280" s="1"/>
      <c r="AC280" s="1"/>
    </row>
    <row r="281" customFormat="false" ht="12.8" hidden="false" customHeight="false" outlineLevel="0" collapsed="false">
      <c r="A281" s="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N281" s="1"/>
      <c r="O281" s="1"/>
      <c r="P281" s="1"/>
      <c r="R281" s="1"/>
      <c r="S281" s="1"/>
      <c r="X281" s="1"/>
      <c r="Y281" s="1"/>
      <c r="AC281" s="1"/>
    </row>
    <row r="282" customFormat="false" ht="12.8" hidden="false" customHeight="false" outlineLevel="0" collapsed="false">
      <c r="A282" s="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N282" s="1"/>
      <c r="O282" s="1"/>
      <c r="P282" s="1"/>
      <c r="R282" s="1"/>
      <c r="S282" s="1"/>
      <c r="X282" s="1"/>
      <c r="Y282" s="1"/>
      <c r="AC282" s="1"/>
    </row>
    <row r="283" customFormat="false" ht="12.8" hidden="false" customHeight="false" outlineLevel="0" collapsed="false">
      <c r="A283" s="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N283" s="1"/>
      <c r="O283" s="1"/>
      <c r="P283" s="1"/>
      <c r="R283" s="1"/>
      <c r="S283" s="1"/>
      <c r="X283" s="1"/>
      <c r="Y283" s="1"/>
      <c r="AC283" s="1"/>
    </row>
    <row r="284" customFormat="false" ht="12.8" hidden="false" customHeight="false" outlineLevel="0" collapsed="false">
      <c r="A284" s="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N284" s="1"/>
      <c r="O284" s="1"/>
      <c r="P284" s="1"/>
      <c r="R284" s="1"/>
      <c r="S284" s="1"/>
      <c r="X284" s="1"/>
      <c r="Y284" s="1"/>
      <c r="AC284" s="1"/>
    </row>
    <row r="285" customFormat="false" ht="12.8" hidden="false" customHeight="false" outlineLevel="0" collapsed="false">
      <c r="A285" s="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N285" s="1"/>
      <c r="O285" s="1"/>
      <c r="P285" s="1"/>
      <c r="R285" s="1"/>
      <c r="S285" s="1"/>
      <c r="X285" s="1"/>
      <c r="Y285" s="1"/>
      <c r="AC285" s="1"/>
    </row>
    <row r="286" customFormat="false" ht="12.8" hidden="false" customHeight="false" outlineLevel="0" collapsed="false">
      <c r="A286" s="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N286" s="1"/>
      <c r="O286" s="1"/>
      <c r="P286" s="1"/>
      <c r="R286" s="1"/>
      <c r="S286" s="1"/>
      <c r="X286" s="1"/>
      <c r="Y286" s="1"/>
      <c r="AC286" s="1"/>
    </row>
    <row r="287" customFormat="false" ht="12.8" hidden="false" customHeight="false" outlineLevel="0" collapsed="false">
      <c r="A287" s="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R287" s="1"/>
      <c r="S287" s="1"/>
      <c r="X287" s="1"/>
      <c r="Y287" s="1"/>
      <c r="AC287" s="1"/>
    </row>
    <row r="288" customFormat="false" ht="12.8" hidden="false" customHeight="false" outlineLevel="0" collapsed="false">
      <c r="A288" s="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R288" s="1"/>
      <c r="S288" s="1"/>
      <c r="X288" s="1"/>
      <c r="Y288" s="1"/>
      <c r="AC288" s="1"/>
    </row>
    <row r="289" customFormat="false" ht="12.8" hidden="false" customHeight="false" outlineLevel="0" collapsed="false">
      <c r="A289" s="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R289" s="1"/>
      <c r="S289" s="1"/>
      <c r="X289" s="1"/>
      <c r="AC289" s="1"/>
    </row>
    <row r="290" customFormat="false" ht="12.8" hidden="false" customHeight="false" outlineLevel="0" collapsed="false">
      <c r="A290" s="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R290" s="1"/>
      <c r="S290" s="1"/>
      <c r="X290" s="1"/>
      <c r="AC290" s="1"/>
    </row>
    <row r="291" customFormat="false" ht="12.8" hidden="false" customHeight="false" outlineLevel="0" collapsed="false">
      <c r="A291" s="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O291" s="1"/>
      <c r="P291" s="1"/>
      <c r="R291" s="1"/>
      <c r="S291" s="1"/>
      <c r="X291" s="1"/>
      <c r="AC291" s="1"/>
    </row>
    <row r="292" customFormat="false" ht="12.8" hidden="false" customHeight="false" outlineLevel="0" collapsed="false">
      <c r="A292" s="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R292" s="1"/>
      <c r="S292" s="1"/>
      <c r="X292" s="1"/>
      <c r="AC292" s="1"/>
    </row>
    <row r="293" customFormat="false" ht="12.8" hidden="false" customHeight="false" outlineLevel="0" collapsed="false">
      <c r="A293" s="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R293" s="1"/>
      <c r="S293" s="1"/>
      <c r="X293" s="1"/>
      <c r="AC293" s="1"/>
    </row>
    <row r="294" customFormat="false" ht="12.8" hidden="false" customHeight="false" outlineLevel="0" collapsed="false">
      <c r="A294" s="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R294" s="1"/>
      <c r="S294" s="1"/>
      <c r="X294" s="1"/>
      <c r="AC294" s="1"/>
    </row>
    <row r="295" customFormat="false" ht="12.8" hidden="false" customHeight="false" outlineLevel="0" collapsed="false">
      <c r="A295" s="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R295" s="1"/>
      <c r="S295" s="1"/>
      <c r="X295" s="1"/>
      <c r="AC295" s="1"/>
    </row>
    <row r="296" customFormat="false" ht="12.8" hidden="false" customHeight="false" outlineLevel="0" collapsed="false">
      <c r="A296" s="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R296" s="1"/>
      <c r="S296" s="1"/>
      <c r="X296" s="1"/>
      <c r="AC296" s="1"/>
    </row>
    <row r="297" customFormat="false" ht="12.8" hidden="false" customHeight="false" outlineLevel="0" collapsed="false">
      <c r="A297" s="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R297" s="1"/>
      <c r="S297" s="1"/>
      <c r="X297" s="1"/>
      <c r="AC297" s="1"/>
    </row>
    <row r="298" customFormat="false" ht="12.8" hidden="false" customHeight="false" outlineLevel="0" collapsed="false">
      <c r="A298" s="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R298" s="1"/>
      <c r="S298" s="1"/>
      <c r="X298" s="1"/>
      <c r="AC298" s="1"/>
    </row>
    <row r="299" customFormat="false" ht="12.8" hidden="false" customHeight="false" outlineLevel="0" collapsed="false">
      <c r="A299" s="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R299" s="1"/>
      <c r="S299" s="1"/>
      <c r="X299" s="1"/>
      <c r="AC299" s="1"/>
    </row>
    <row r="300" customFormat="false" ht="12.8" hidden="false" customHeight="false" outlineLevel="0" collapsed="false">
      <c r="A300" s="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R300" s="1"/>
      <c r="S300" s="1"/>
      <c r="X300" s="1"/>
      <c r="AC300" s="1"/>
    </row>
    <row r="301" customFormat="false" ht="12.8" hidden="false" customHeight="false" outlineLevel="0" collapsed="false">
      <c r="A301" s="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R301" s="1"/>
      <c r="S301" s="1"/>
      <c r="X301" s="1"/>
      <c r="AC301" s="1"/>
    </row>
    <row r="302" customFormat="false" ht="12.8" hidden="false" customHeight="false" outlineLevel="0" collapsed="false">
      <c r="A302" s="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R302" s="1"/>
      <c r="S302" s="1"/>
      <c r="X302" s="1"/>
      <c r="AC302" s="1"/>
    </row>
    <row r="303" customFormat="false" ht="12.8" hidden="false" customHeight="false" outlineLevel="0" collapsed="false">
      <c r="A303" s="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R303" s="1"/>
      <c r="S303" s="1"/>
      <c r="X303" s="1"/>
      <c r="AC303" s="1"/>
    </row>
    <row r="304" customFormat="false" ht="12.8" hidden="false" customHeight="false" outlineLevel="0" collapsed="false">
      <c r="A304" s="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R304" s="1"/>
      <c r="S304" s="1"/>
      <c r="X304" s="1"/>
      <c r="AC304" s="1"/>
    </row>
    <row r="305" customFormat="false" ht="12.8" hidden="false" customHeight="false" outlineLevel="0" collapsed="false">
      <c r="A305" s="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R305" s="1"/>
      <c r="S305" s="1"/>
      <c r="X305" s="1"/>
      <c r="AC305" s="1"/>
    </row>
    <row r="306" customFormat="false" ht="12.8" hidden="false" customHeight="false" outlineLevel="0" collapsed="false">
      <c r="A306" s="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R306" s="1"/>
      <c r="S306" s="1"/>
      <c r="X306" s="1"/>
      <c r="AC306" s="1"/>
    </row>
    <row r="307" customFormat="false" ht="12.8" hidden="false" customHeight="false" outlineLevel="0" collapsed="false">
      <c r="A307" s="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R307" s="1"/>
      <c r="S307" s="1"/>
      <c r="X307" s="1"/>
      <c r="AC307" s="1"/>
    </row>
    <row r="308" customFormat="false" ht="12.8" hidden="false" customHeight="false" outlineLevel="0" collapsed="false">
      <c r="A308" s="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R308" s="1"/>
      <c r="S308" s="1"/>
      <c r="X308" s="1"/>
      <c r="AC308" s="1"/>
    </row>
    <row r="309" customFormat="false" ht="12.8" hidden="false" customHeight="false" outlineLevel="0" collapsed="false">
      <c r="A309" s="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R309" s="1"/>
      <c r="S309" s="1"/>
      <c r="X309" s="1"/>
      <c r="AC309" s="1"/>
    </row>
    <row r="310" customFormat="false" ht="12.8" hidden="false" customHeight="false" outlineLevel="0" collapsed="false">
      <c r="A310" s="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R310" s="1"/>
      <c r="S310" s="1"/>
      <c r="X310" s="1"/>
      <c r="AC310" s="1"/>
    </row>
    <row r="311" customFormat="false" ht="12.8" hidden="false" customHeight="false" outlineLevel="0" collapsed="false">
      <c r="A311" s="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O311" s="1"/>
      <c r="P311" s="1"/>
      <c r="R311" s="1"/>
      <c r="S311" s="1"/>
      <c r="X311" s="1"/>
      <c r="AC311" s="1"/>
    </row>
    <row r="312" customFormat="false" ht="12.8" hidden="false" customHeight="false" outlineLevel="0" collapsed="false">
      <c r="A312" s="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R312" s="1"/>
      <c r="S312" s="1"/>
      <c r="X312" s="1"/>
      <c r="AC312" s="1"/>
    </row>
    <row r="313" customFormat="false" ht="12.8" hidden="false" customHeight="false" outlineLevel="0" collapsed="false">
      <c r="A313" s="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R313" s="1"/>
      <c r="S313" s="1"/>
      <c r="X313" s="1"/>
      <c r="AC313" s="1"/>
    </row>
    <row r="314" customFormat="false" ht="12.8" hidden="false" customHeight="false" outlineLevel="0" collapsed="false">
      <c r="A314" s="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R314" s="1"/>
      <c r="S314" s="1"/>
      <c r="X314" s="1"/>
      <c r="AC314" s="1"/>
    </row>
    <row r="315" customFormat="false" ht="12.8" hidden="false" customHeight="false" outlineLevel="0" collapsed="false">
      <c r="A315" s="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R315" s="1"/>
      <c r="S315" s="1"/>
      <c r="X315" s="1"/>
      <c r="AC315" s="1"/>
    </row>
    <row r="316" customFormat="false" ht="12.8" hidden="false" customHeight="false" outlineLevel="0" collapsed="false">
      <c r="A316" s="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R316" s="1"/>
      <c r="S316" s="1"/>
      <c r="X316" s="1"/>
      <c r="AC316" s="1"/>
    </row>
    <row r="317" customFormat="false" ht="12.8" hidden="false" customHeight="false" outlineLevel="0" collapsed="false">
      <c r="A317" s="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R317" s="1"/>
      <c r="S317" s="1"/>
      <c r="X317" s="1"/>
      <c r="AC317" s="1"/>
    </row>
    <row r="318" customFormat="false" ht="12.8" hidden="false" customHeight="false" outlineLevel="0" collapsed="false">
      <c r="A318" s="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R318" s="1"/>
      <c r="S318" s="1"/>
      <c r="X318" s="1"/>
      <c r="AC318" s="1"/>
    </row>
    <row r="319" customFormat="false" ht="12.8" hidden="false" customHeight="false" outlineLevel="0" collapsed="false">
      <c r="A319" s="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R319" s="1"/>
      <c r="S319" s="1"/>
      <c r="X319" s="1"/>
      <c r="AC319" s="1"/>
    </row>
    <row r="320" customFormat="false" ht="12.8" hidden="false" customHeight="false" outlineLevel="0" collapsed="false">
      <c r="A320" s="3"/>
      <c r="B320" s="1"/>
      <c r="C320" s="1"/>
      <c r="D320" s="1"/>
      <c r="E320" s="1"/>
      <c r="F320" s="1"/>
      <c r="G320" s="1"/>
      <c r="H320" s="1"/>
      <c r="I320" s="1"/>
      <c r="K320" s="1"/>
      <c r="L320" s="1"/>
      <c r="N320" s="1"/>
      <c r="O320" s="1"/>
      <c r="P320" s="1"/>
      <c r="R320" s="1"/>
      <c r="S320" s="1"/>
      <c r="X320" s="1"/>
      <c r="AC320" s="1"/>
    </row>
    <row r="321" customFormat="false" ht="12.8" hidden="false" customHeight="false" outlineLevel="0" collapsed="false">
      <c r="A321" s="3"/>
      <c r="B321" s="1"/>
      <c r="C321" s="1"/>
      <c r="D321" s="1"/>
      <c r="E321" s="1"/>
      <c r="F321" s="1"/>
      <c r="G321" s="1"/>
      <c r="H321" s="1"/>
      <c r="I321" s="1"/>
      <c r="K321" s="1"/>
      <c r="L321" s="1"/>
      <c r="N321" s="1"/>
      <c r="O321" s="1"/>
      <c r="P321" s="1"/>
      <c r="R321" s="1"/>
      <c r="S321" s="1"/>
      <c r="X321" s="1"/>
      <c r="AC321" s="1"/>
    </row>
    <row r="322" customFormat="false" ht="12.8" hidden="false" customHeight="false" outlineLevel="0" collapsed="false">
      <c r="A322" s="3"/>
      <c r="B322" s="1"/>
      <c r="C322" s="1"/>
      <c r="D322" s="1"/>
      <c r="E322" s="1"/>
      <c r="F322" s="1"/>
      <c r="G322" s="1"/>
      <c r="H322" s="1"/>
      <c r="I322" s="1"/>
      <c r="K322" s="1"/>
      <c r="L322" s="1"/>
      <c r="O322" s="1"/>
      <c r="P322" s="1"/>
      <c r="R322" s="1"/>
      <c r="S322" s="1"/>
      <c r="X322" s="1"/>
      <c r="AC322" s="1"/>
    </row>
    <row r="323" customFormat="false" ht="12.8" hidden="false" customHeight="false" outlineLevel="0" collapsed="false">
      <c r="A323" s="3"/>
      <c r="B323" s="1"/>
      <c r="C323" s="1"/>
      <c r="D323" s="1"/>
      <c r="E323" s="1"/>
      <c r="F323" s="1"/>
      <c r="G323" s="1"/>
      <c r="H323" s="1"/>
      <c r="I323" s="1"/>
      <c r="K323" s="1"/>
      <c r="L323" s="1"/>
      <c r="N323" s="1"/>
      <c r="O323" s="1"/>
      <c r="P323" s="1"/>
      <c r="R323" s="1"/>
      <c r="S323" s="1"/>
      <c r="X323" s="1"/>
      <c r="AC323" s="1"/>
    </row>
    <row r="324" customFormat="false" ht="12.8" hidden="false" customHeight="false" outlineLevel="0" collapsed="false">
      <c r="A324" s="3"/>
      <c r="B324" s="1"/>
      <c r="C324" s="1"/>
      <c r="D324" s="1"/>
      <c r="E324" s="1"/>
      <c r="F324" s="1"/>
      <c r="G324" s="1"/>
      <c r="H324" s="1"/>
      <c r="I324" s="1"/>
      <c r="K324" s="1"/>
      <c r="L324" s="1"/>
      <c r="N324" s="1"/>
      <c r="O324" s="1"/>
      <c r="P324" s="1"/>
      <c r="R324" s="1"/>
      <c r="S324" s="1"/>
      <c r="X324" s="1"/>
      <c r="AC324" s="1"/>
    </row>
    <row r="325" customFormat="false" ht="12.8" hidden="false" customHeight="false" outlineLevel="0" collapsed="false">
      <c r="A325" s="3"/>
      <c r="B325" s="1"/>
      <c r="C325" s="1"/>
      <c r="D325" s="1"/>
      <c r="E325" s="1"/>
      <c r="F325" s="1"/>
      <c r="G325" s="1"/>
      <c r="H325" s="1"/>
      <c r="I325" s="1"/>
      <c r="K325" s="1"/>
      <c r="L325" s="1"/>
      <c r="N325" s="1"/>
      <c r="O325" s="1"/>
      <c r="P325" s="1"/>
      <c r="R325" s="1"/>
      <c r="S325" s="1"/>
      <c r="X325" s="1"/>
      <c r="AC325" s="1"/>
    </row>
    <row r="326" customFormat="false" ht="12.8" hidden="false" customHeight="false" outlineLevel="0" collapsed="false">
      <c r="A326" s="3"/>
      <c r="B326" s="1"/>
      <c r="C326" s="1"/>
      <c r="D326" s="1"/>
      <c r="E326" s="1"/>
      <c r="F326" s="1"/>
      <c r="G326" s="1"/>
      <c r="H326" s="1"/>
      <c r="I326" s="1"/>
      <c r="K326" s="1"/>
      <c r="L326" s="1"/>
      <c r="N326" s="1"/>
      <c r="O326" s="1"/>
      <c r="P326" s="1"/>
      <c r="R326" s="1"/>
      <c r="S326" s="1"/>
      <c r="X326" s="1"/>
      <c r="AC326" s="1"/>
    </row>
    <row r="327" customFormat="false" ht="12.8" hidden="false" customHeight="false" outlineLevel="0" collapsed="false">
      <c r="A327" s="3"/>
      <c r="B327" s="1"/>
      <c r="C327" s="1"/>
      <c r="D327" s="1"/>
      <c r="E327" s="1"/>
      <c r="F327" s="1"/>
      <c r="G327" s="1"/>
      <c r="H327" s="1"/>
      <c r="I327" s="1"/>
      <c r="K327" s="1"/>
      <c r="L327" s="1"/>
      <c r="N327" s="1"/>
      <c r="O327" s="1"/>
      <c r="P327" s="1"/>
      <c r="R327" s="1"/>
      <c r="S327" s="1"/>
      <c r="X327" s="1"/>
      <c r="AC327" s="1"/>
    </row>
    <row r="328" customFormat="false" ht="12.8" hidden="false" customHeight="false" outlineLevel="0" collapsed="false">
      <c r="A328" s="3"/>
      <c r="B328" s="1"/>
      <c r="C328" s="1"/>
      <c r="D328" s="1"/>
      <c r="E328" s="1"/>
      <c r="F328" s="1"/>
      <c r="G328" s="1"/>
      <c r="H328" s="1"/>
      <c r="I328" s="1"/>
      <c r="K328" s="1"/>
      <c r="L328" s="1"/>
      <c r="N328" s="1"/>
      <c r="O328" s="1"/>
      <c r="P328" s="1"/>
      <c r="R328" s="1"/>
      <c r="S328" s="1"/>
      <c r="X328" s="1"/>
      <c r="AC328" s="1"/>
    </row>
    <row r="329" customFormat="false" ht="12.8" hidden="false" customHeight="false" outlineLevel="0" collapsed="false">
      <c r="A329" s="3"/>
      <c r="B329" s="1"/>
      <c r="C329" s="1"/>
      <c r="D329" s="1"/>
      <c r="E329" s="1"/>
      <c r="F329" s="1"/>
      <c r="G329" s="1"/>
      <c r="H329" s="1"/>
      <c r="I329" s="1"/>
      <c r="K329" s="1"/>
      <c r="L329" s="1"/>
      <c r="N329" s="1"/>
      <c r="O329" s="1"/>
      <c r="P329" s="1"/>
      <c r="R329" s="1"/>
      <c r="S329" s="1"/>
      <c r="X329" s="1"/>
      <c r="AC329" s="1"/>
    </row>
    <row r="330" customFormat="false" ht="12.8" hidden="false" customHeight="false" outlineLevel="0" collapsed="false">
      <c r="A330" s="3"/>
      <c r="B330" s="1"/>
      <c r="C330" s="1"/>
      <c r="D330" s="1"/>
      <c r="E330" s="1"/>
      <c r="F330" s="1"/>
      <c r="G330" s="1"/>
      <c r="H330" s="1"/>
      <c r="I330" s="1"/>
      <c r="K330" s="1"/>
      <c r="L330" s="1"/>
      <c r="N330" s="1"/>
      <c r="O330" s="1"/>
      <c r="P330" s="1"/>
      <c r="R330" s="1"/>
      <c r="S330" s="1"/>
      <c r="X330" s="1"/>
      <c r="AC330" s="1"/>
    </row>
    <row r="331" customFormat="false" ht="12.8" hidden="false" customHeight="false" outlineLevel="0" collapsed="false">
      <c r="A331" s="3"/>
      <c r="B331" s="1"/>
      <c r="C331" s="1"/>
      <c r="D331" s="1"/>
      <c r="E331" s="1"/>
      <c r="F331" s="1"/>
      <c r="G331" s="1"/>
      <c r="H331" s="1"/>
      <c r="I331" s="1"/>
      <c r="K331" s="1"/>
      <c r="L331" s="1"/>
      <c r="N331" s="1"/>
      <c r="O331" s="1"/>
      <c r="P331" s="1"/>
      <c r="R331" s="1"/>
      <c r="S331" s="1"/>
      <c r="X331" s="1"/>
      <c r="AC331" s="1"/>
    </row>
    <row r="332" customFormat="false" ht="12.8" hidden="false" customHeight="false" outlineLevel="0" collapsed="false">
      <c r="A332" s="3"/>
      <c r="B332" s="1"/>
      <c r="C332" s="1"/>
      <c r="D332" s="1"/>
      <c r="E332" s="1"/>
      <c r="F332" s="1"/>
      <c r="G332" s="1"/>
      <c r="H332" s="1"/>
      <c r="I332" s="1"/>
      <c r="K332" s="1"/>
      <c r="L332" s="1"/>
      <c r="N332" s="1"/>
      <c r="O332" s="1"/>
      <c r="P332" s="1"/>
      <c r="R332" s="1"/>
      <c r="S332" s="1"/>
      <c r="X332" s="1"/>
      <c r="AC332" s="1"/>
    </row>
    <row r="333" customFormat="false" ht="12.8" hidden="false" customHeight="false" outlineLevel="0" collapsed="false">
      <c r="A333" s="3"/>
      <c r="B333" s="1"/>
      <c r="C333" s="1"/>
      <c r="D333" s="1"/>
      <c r="E333" s="1"/>
      <c r="F333" s="1"/>
      <c r="G333" s="1"/>
      <c r="H333" s="1"/>
      <c r="I333" s="1"/>
      <c r="K333" s="1"/>
      <c r="L333" s="1"/>
      <c r="N333" s="1"/>
      <c r="O333" s="1"/>
      <c r="P333" s="1"/>
      <c r="R333" s="1"/>
      <c r="S333" s="1"/>
      <c r="X333" s="1"/>
      <c r="AC333" s="1"/>
    </row>
    <row r="334" customFormat="false" ht="12.8" hidden="false" customHeight="false" outlineLevel="0" collapsed="false">
      <c r="A334" s="3"/>
      <c r="B334" s="1"/>
      <c r="C334" s="1"/>
      <c r="D334" s="1"/>
      <c r="E334" s="1"/>
      <c r="F334" s="1"/>
      <c r="G334" s="1"/>
      <c r="H334" s="1"/>
      <c r="I334" s="1"/>
      <c r="K334" s="1"/>
      <c r="L334" s="1"/>
      <c r="N334" s="1"/>
      <c r="O334" s="1"/>
      <c r="P334" s="1"/>
      <c r="R334" s="1"/>
      <c r="S334" s="1"/>
      <c r="X334" s="1"/>
      <c r="AC334" s="1"/>
    </row>
    <row r="335" customFormat="false" ht="12.8" hidden="false" customHeight="false" outlineLevel="0" collapsed="false">
      <c r="A335" s="3"/>
      <c r="B335" s="1"/>
      <c r="C335" s="1"/>
      <c r="D335" s="1"/>
      <c r="E335" s="1"/>
      <c r="F335" s="1"/>
      <c r="G335" s="1"/>
      <c r="H335" s="1"/>
      <c r="I335" s="1"/>
      <c r="K335" s="1"/>
      <c r="L335" s="1"/>
      <c r="N335" s="1"/>
      <c r="O335" s="1"/>
      <c r="P335" s="1"/>
      <c r="R335" s="1"/>
      <c r="S335" s="1"/>
      <c r="X335" s="1"/>
      <c r="AC335" s="1"/>
    </row>
    <row r="336" customFormat="false" ht="12.8" hidden="false" customHeight="false" outlineLevel="0" collapsed="false">
      <c r="A336" s="3"/>
      <c r="B336" s="1"/>
      <c r="C336" s="1"/>
      <c r="D336" s="1"/>
      <c r="E336" s="1"/>
      <c r="F336" s="1"/>
      <c r="G336" s="1"/>
      <c r="H336" s="1"/>
      <c r="I336" s="1"/>
      <c r="K336" s="1"/>
      <c r="L336" s="1"/>
      <c r="N336" s="1"/>
      <c r="O336" s="1"/>
      <c r="P336" s="1"/>
      <c r="R336" s="1"/>
      <c r="S336" s="1"/>
      <c r="X336" s="1"/>
      <c r="AC336" s="1"/>
    </row>
    <row r="337" customFormat="false" ht="12.8" hidden="false" customHeight="false" outlineLevel="0" collapsed="false">
      <c r="A337" s="3"/>
      <c r="B337" s="1"/>
      <c r="C337" s="1"/>
      <c r="D337" s="1"/>
      <c r="E337" s="1"/>
      <c r="F337" s="1"/>
      <c r="G337" s="1"/>
      <c r="H337" s="1"/>
      <c r="I337" s="1"/>
      <c r="K337" s="1"/>
      <c r="L337" s="1"/>
      <c r="N337" s="1"/>
      <c r="O337" s="1"/>
      <c r="P337" s="1"/>
      <c r="R337" s="1"/>
      <c r="S337" s="1"/>
      <c r="X337" s="1"/>
      <c r="AC337" s="1"/>
    </row>
    <row r="338" customFormat="false" ht="12.8" hidden="false" customHeight="false" outlineLevel="0" collapsed="false">
      <c r="A338" s="3"/>
      <c r="B338" s="1"/>
      <c r="C338" s="1"/>
      <c r="D338" s="1"/>
      <c r="E338" s="1"/>
      <c r="F338" s="1"/>
      <c r="G338" s="1"/>
      <c r="H338" s="1"/>
      <c r="I338" s="1"/>
      <c r="K338" s="1"/>
      <c r="L338" s="1"/>
      <c r="N338" s="1"/>
      <c r="O338" s="1"/>
      <c r="P338" s="1"/>
      <c r="R338" s="1"/>
      <c r="S338" s="1"/>
      <c r="X338" s="1"/>
      <c r="AC338" s="1"/>
    </row>
    <row r="339" customFormat="false" ht="12.8" hidden="false" customHeight="false" outlineLevel="0" collapsed="false">
      <c r="A339" s="3"/>
      <c r="B339" s="1"/>
      <c r="C339" s="1"/>
      <c r="D339" s="1"/>
      <c r="E339" s="1"/>
      <c r="F339" s="1"/>
      <c r="G339" s="1"/>
      <c r="H339" s="1"/>
      <c r="I339" s="1"/>
      <c r="K339" s="1"/>
      <c r="L339" s="1"/>
      <c r="N339" s="1"/>
      <c r="O339" s="1"/>
      <c r="P339" s="1"/>
      <c r="R339" s="1"/>
      <c r="S339" s="1"/>
      <c r="X339" s="1"/>
      <c r="AC339" s="1"/>
    </row>
    <row r="340" customFormat="false" ht="12.8" hidden="false" customHeight="false" outlineLevel="0" collapsed="false">
      <c r="A340" s="3"/>
      <c r="B340" s="1"/>
      <c r="C340" s="1"/>
      <c r="D340" s="1"/>
      <c r="E340" s="1"/>
      <c r="F340" s="1"/>
      <c r="G340" s="1"/>
      <c r="H340" s="1"/>
      <c r="I340" s="1"/>
      <c r="K340" s="1"/>
      <c r="L340" s="1"/>
      <c r="N340" s="1"/>
      <c r="O340" s="1"/>
      <c r="P340" s="1"/>
      <c r="R340" s="1"/>
      <c r="S340" s="1"/>
      <c r="X340" s="1"/>
      <c r="AC340" s="1"/>
    </row>
    <row r="341" customFormat="false" ht="12.8" hidden="false" customHeight="false" outlineLevel="0" collapsed="false">
      <c r="A341" s="3"/>
      <c r="B341" s="1"/>
      <c r="C341" s="1"/>
      <c r="D341" s="1"/>
      <c r="E341" s="1"/>
      <c r="F341" s="1"/>
      <c r="G341" s="1"/>
      <c r="H341" s="1"/>
      <c r="I341" s="1"/>
      <c r="K341" s="1"/>
      <c r="L341" s="1"/>
      <c r="N341" s="1"/>
      <c r="O341" s="1"/>
      <c r="P341" s="1"/>
      <c r="R341" s="1"/>
      <c r="S341" s="1"/>
      <c r="X341" s="1"/>
      <c r="AC341" s="1"/>
    </row>
    <row r="342" customFormat="false" ht="12.8" hidden="false" customHeight="false" outlineLevel="0" collapsed="false">
      <c r="A342" s="3"/>
      <c r="B342" s="1"/>
      <c r="C342" s="1"/>
      <c r="D342" s="1"/>
      <c r="E342" s="1"/>
      <c r="F342" s="1"/>
      <c r="G342" s="1"/>
      <c r="H342" s="1"/>
      <c r="I342" s="1"/>
      <c r="K342" s="1"/>
      <c r="L342" s="1"/>
      <c r="N342" s="1"/>
      <c r="O342" s="1"/>
      <c r="P342" s="1"/>
      <c r="R342" s="1"/>
      <c r="S342" s="1"/>
      <c r="X342" s="1"/>
      <c r="AC342" s="1"/>
    </row>
    <row r="343" customFormat="false" ht="12.8" hidden="false" customHeight="false" outlineLevel="0" collapsed="false">
      <c r="A343" s="3"/>
      <c r="B343" s="1"/>
      <c r="C343" s="1"/>
      <c r="D343" s="1"/>
      <c r="E343" s="1"/>
      <c r="F343" s="1"/>
      <c r="G343" s="1"/>
      <c r="H343" s="1"/>
      <c r="I343" s="1"/>
      <c r="K343" s="1"/>
      <c r="L343" s="1"/>
      <c r="N343" s="1"/>
      <c r="O343" s="1"/>
      <c r="P343" s="1"/>
      <c r="R343" s="1"/>
      <c r="S343" s="1"/>
      <c r="X343" s="1"/>
      <c r="AC343" s="1"/>
    </row>
    <row r="344" customFormat="false" ht="12.8" hidden="false" customHeight="false" outlineLevel="0" collapsed="false">
      <c r="A344" s="3"/>
      <c r="B344" s="1"/>
      <c r="C344" s="1"/>
      <c r="D344" s="1"/>
      <c r="E344" s="1"/>
      <c r="F344" s="1"/>
      <c r="G344" s="1"/>
      <c r="H344" s="1"/>
      <c r="I344" s="1"/>
      <c r="K344" s="1"/>
      <c r="L344" s="1"/>
      <c r="N344" s="1"/>
      <c r="O344" s="1"/>
      <c r="P344" s="1"/>
      <c r="R344" s="1"/>
      <c r="S344" s="1"/>
      <c r="X344" s="1"/>
      <c r="AC344" s="1"/>
    </row>
    <row r="345" customFormat="false" ht="12.8" hidden="false" customHeight="false" outlineLevel="0" collapsed="false">
      <c r="A345" s="3"/>
      <c r="B345" s="1"/>
      <c r="C345" s="1"/>
      <c r="D345" s="1"/>
      <c r="E345" s="1"/>
      <c r="F345" s="1"/>
      <c r="G345" s="1"/>
      <c r="H345" s="1"/>
      <c r="I345" s="1"/>
      <c r="K345" s="1"/>
      <c r="L345" s="1"/>
      <c r="N345" s="1"/>
      <c r="O345" s="1"/>
      <c r="P345" s="1"/>
      <c r="Q345" s="1"/>
      <c r="R345" s="1"/>
      <c r="S345" s="1"/>
      <c r="X345" s="1"/>
      <c r="AC345" s="1"/>
    </row>
    <row r="346" customFormat="false" ht="12.8" hidden="false" customHeight="false" outlineLevel="0" collapsed="false">
      <c r="A346" s="3"/>
      <c r="B346" s="1"/>
      <c r="C346" s="1"/>
      <c r="D346" s="1"/>
      <c r="E346" s="1"/>
      <c r="F346" s="1"/>
      <c r="G346" s="1"/>
      <c r="H346" s="1"/>
      <c r="I346" s="1"/>
      <c r="K346" s="1"/>
      <c r="L346" s="1"/>
      <c r="N346" s="1"/>
      <c r="O346" s="1"/>
      <c r="P346" s="1"/>
      <c r="Q346" s="1"/>
      <c r="R346" s="1"/>
      <c r="S346" s="1"/>
      <c r="X346" s="1"/>
      <c r="AC346" s="1"/>
    </row>
    <row r="347" customFormat="false" ht="12.8" hidden="false" customHeight="false" outlineLevel="0" collapsed="false">
      <c r="A347" s="3"/>
      <c r="B347" s="1"/>
      <c r="C347" s="1"/>
      <c r="D347" s="1"/>
      <c r="E347" s="1"/>
      <c r="F347" s="1"/>
      <c r="G347" s="1"/>
      <c r="H347" s="1"/>
      <c r="I347" s="1"/>
      <c r="K347" s="1"/>
      <c r="L347" s="1"/>
      <c r="N347" s="1"/>
      <c r="O347" s="1"/>
      <c r="P347" s="1"/>
      <c r="R347" s="1"/>
      <c r="S347" s="1"/>
      <c r="X347" s="1"/>
      <c r="Y347" s="1"/>
      <c r="AC347" s="1"/>
    </row>
    <row r="348" customFormat="false" ht="12.8" hidden="false" customHeight="false" outlineLevel="0" collapsed="false">
      <c r="A348" s="3"/>
      <c r="B348" s="1"/>
      <c r="C348" s="1"/>
      <c r="D348" s="1"/>
      <c r="E348" s="1"/>
      <c r="F348" s="1"/>
      <c r="G348" s="1"/>
      <c r="H348" s="1"/>
      <c r="I348" s="1"/>
      <c r="K348" s="1"/>
      <c r="L348" s="1"/>
      <c r="N348" s="1"/>
      <c r="O348" s="1"/>
      <c r="P348" s="1"/>
      <c r="R348" s="1"/>
      <c r="S348" s="1"/>
      <c r="X348" s="1"/>
      <c r="AC348" s="1"/>
    </row>
    <row r="349" customFormat="false" ht="12.8" hidden="false" customHeight="false" outlineLevel="0" collapsed="false">
      <c r="A349" s="3"/>
      <c r="B349" s="1"/>
      <c r="C349" s="1"/>
      <c r="D349" s="1"/>
      <c r="E349" s="1"/>
      <c r="F349" s="1"/>
      <c r="G349" s="1"/>
      <c r="H349" s="1"/>
      <c r="I349" s="1"/>
      <c r="K349" s="1"/>
      <c r="L349" s="1"/>
      <c r="N349" s="1"/>
      <c r="O349" s="1"/>
      <c r="P349" s="1"/>
      <c r="R349" s="1"/>
      <c r="S349" s="1"/>
      <c r="X349" s="1"/>
      <c r="AC349" s="1"/>
    </row>
    <row r="350" customFormat="false" ht="12.8" hidden="false" customHeight="false" outlineLevel="0" collapsed="false">
      <c r="A350" s="3"/>
      <c r="B350" s="1"/>
      <c r="C350" s="1"/>
      <c r="D350" s="1"/>
      <c r="E350" s="1"/>
      <c r="F350" s="1"/>
      <c r="G350" s="1"/>
      <c r="H350" s="1"/>
      <c r="I350" s="1"/>
      <c r="K350" s="1"/>
      <c r="L350" s="1"/>
      <c r="N350" s="1"/>
      <c r="O350" s="1"/>
      <c r="P350" s="1"/>
      <c r="R350" s="1"/>
      <c r="S350" s="1"/>
      <c r="X350" s="1"/>
      <c r="AC350" s="1"/>
    </row>
    <row r="351" customFormat="false" ht="12.8" hidden="false" customHeight="false" outlineLevel="0" collapsed="false">
      <c r="A351" s="3"/>
      <c r="B351" s="1"/>
      <c r="C351" s="1"/>
      <c r="D351" s="1"/>
      <c r="E351" s="1"/>
      <c r="F351" s="1"/>
      <c r="G351" s="1"/>
      <c r="H351" s="1"/>
      <c r="I351" s="1"/>
      <c r="K351" s="1"/>
      <c r="L351" s="1"/>
      <c r="N351" s="1"/>
      <c r="O351" s="1"/>
      <c r="P351" s="1"/>
      <c r="R351" s="1"/>
      <c r="S351" s="1"/>
      <c r="X351" s="1"/>
      <c r="AC351" s="1"/>
    </row>
    <row r="352" customFormat="false" ht="12.8" hidden="false" customHeight="false" outlineLevel="0" collapsed="false">
      <c r="A352" s="3"/>
      <c r="B352" s="1"/>
      <c r="C352" s="1"/>
      <c r="D352" s="1"/>
      <c r="E352" s="1"/>
      <c r="F352" s="1"/>
      <c r="G352" s="1"/>
      <c r="H352" s="1"/>
      <c r="I352" s="1"/>
      <c r="K352" s="1"/>
      <c r="L352" s="1"/>
      <c r="N352" s="1"/>
      <c r="O352" s="1"/>
      <c r="P352" s="1"/>
      <c r="R352" s="1"/>
      <c r="S352" s="1"/>
      <c r="X352" s="1"/>
      <c r="AC352" s="1"/>
    </row>
    <row r="353" customFormat="false" ht="12.8" hidden="false" customHeight="false" outlineLevel="0" collapsed="false">
      <c r="A353" s="3"/>
      <c r="B353" s="1"/>
      <c r="C353" s="1"/>
      <c r="D353" s="1"/>
      <c r="E353" s="1"/>
      <c r="F353" s="1"/>
      <c r="G353" s="1"/>
      <c r="H353" s="1"/>
      <c r="I353" s="1"/>
      <c r="K353" s="1"/>
      <c r="L353" s="1"/>
      <c r="N353" s="1"/>
      <c r="O353" s="1"/>
      <c r="P353" s="1"/>
      <c r="R353" s="1"/>
      <c r="S353" s="1"/>
      <c r="X353" s="1"/>
      <c r="AC353" s="1"/>
    </row>
    <row r="354" customFormat="false" ht="12.8" hidden="false" customHeight="false" outlineLevel="0" collapsed="false">
      <c r="A354" s="3"/>
      <c r="B354" s="1"/>
      <c r="C354" s="1"/>
      <c r="D354" s="1"/>
      <c r="E354" s="1"/>
      <c r="F354" s="1"/>
      <c r="G354" s="1"/>
      <c r="H354" s="1"/>
      <c r="I354" s="1"/>
      <c r="K354" s="1"/>
      <c r="L354" s="1"/>
      <c r="N354" s="1"/>
      <c r="O354" s="1"/>
      <c r="P354" s="1"/>
      <c r="R354" s="1"/>
      <c r="S354" s="1"/>
      <c r="X354" s="1"/>
      <c r="AC354" s="1"/>
    </row>
    <row r="355" customFormat="false" ht="12.8" hidden="false" customHeight="false" outlineLevel="0" collapsed="false">
      <c r="A355" s="3"/>
      <c r="B355" s="1"/>
      <c r="C355" s="1"/>
      <c r="D355" s="1"/>
      <c r="E355" s="1"/>
      <c r="F355" s="1"/>
      <c r="G355" s="1"/>
      <c r="H355" s="1"/>
      <c r="I355" s="1"/>
      <c r="K355" s="1"/>
      <c r="L355" s="1"/>
      <c r="O355" s="1"/>
      <c r="P355" s="1"/>
      <c r="R355" s="1"/>
      <c r="S355" s="1"/>
      <c r="X355" s="1"/>
      <c r="Y355" s="1"/>
      <c r="AB355" s="1"/>
      <c r="AC355" s="1"/>
    </row>
    <row r="356" customFormat="false" ht="12.8" hidden="false" customHeight="false" outlineLevel="0" collapsed="false">
      <c r="A356" s="3"/>
      <c r="B356" s="1"/>
      <c r="C356" s="1"/>
      <c r="D356" s="1"/>
      <c r="E356" s="1"/>
      <c r="F356" s="1"/>
      <c r="G356" s="1"/>
      <c r="H356" s="1"/>
      <c r="I356" s="1"/>
      <c r="K356" s="1"/>
      <c r="L356" s="1"/>
      <c r="O356" s="1"/>
      <c r="P356" s="1"/>
      <c r="R356" s="1"/>
      <c r="S356" s="1"/>
      <c r="X356" s="1"/>
      <c r="Y356" s="1"/>
      <c r="AB356" s="1"/>
      <c r="AC356" s="1"/>
    </row>
    <row r="357" customFormat="false" ht="12.8" hidden="false" customHeight="false" outlineLevel="0" collapsed="false">
      <c r="A357" s="3"/>
      <c r="B357" s="1"/>
      <c r="C357" s="1"/>
      <c r="D357" s="1"/>
      <c r="E357" s="1"/>
      <c r="F357" s="1"/>
      <c r="G357" s="1"/>
      <c r="H357" s="1"/>
      <c r="I357" s="1"/>
      <c r="K357" s="1"/>
      <c r="L357" s="1"/>
      <c r="O357" s="1"/>
      <c r="P357" s="1"/>
      <c r="R357" s="1"/>
      <c r="S357" s="1"/>
      <c r="X357" s="1"/>
      <c r="Y357" s="1"/>
      <c r="AB357" s="1"/>
      <c r="AC357" s="1"/>
    </row>
    <row r="358" customFormat="false" ht="12.8" hidden="false" customHeight="false" outlineLevel="0" collapsed="false">
      <c r="A358" s="3"/>
      <c r="B358" s="1"/>
      <c r="C358" s="1"/>
      <c r="D358" s="1"/>
      <c r="E358" s="1"/>
      <c r="F358" s="1"/>
      <c r="G358" s="1"/>
      <c r="H358" s="1"/>
      <c r="I358" s="1"/>
      <c r="K358" s="1"/>
      <c r="L358" s="1"/>
      <c r="O358" s="1"/>
      <c r="P358" s="1"/>
      <c r="R358" s="1"/>
      <c r="S358" s="1"/>
      <c r="X358" s="1"/>
      <c r="Y358" s="1"/>
      <c r="AB358" s="1"/>
      <c r="AC358" s="1"/>
    </row>
    <row r="359" customFormat="false" ht="12.8" hidden="false" customHeight="false" outlineLevel="0" collapsed="false">
      <c r="A359" s="3"/>
      <c r="B359" s="1"/>
      <c r="C359" s="1"/>
      <c r="D359" s="1"/>
      <c r="E359" s="1"/>
      <c r="F359" s="1"/>
      <c r="G359" s="1"/>
      <c r="H359" s="1"/>
      <c r="I359" s="1"/>
      <c r="K359" s="1"/>
      <c r="L359" s="1"/>
      <c r="O359" s="1"/>
      <c r="P359" s="1"/>
      <c r="R359" s="1"/>
      <c r="S359" s="1"/>
      <c r="X359" s="1"/>
      <c r="Y359" s="1"/>
      <c r="AB359" s="1"/>
      <c r="AC359" s="1"/>
    </row>
    <row r="360" customFormat="false" ht="12.8" hidden="false" customHeight="false" outlineLevel="0" collapsed="false">
      <c r="A360" s="3"/>
      <c r="B360" s="1"/>
      <c r="C360" s="1"/>
      <c r="D360" s="1"/>
      <c r="E360" s="1"/>
      <c r="F360" s="1"/>
      <c r="G360" s="1"/>
      <c r="H360" s="1"/>
      <c r="I360" s="1"/>
      <c r="K360" s="1"/>
      <c r="L360" s="1"/>
      <c r="O360" s="1"/>
      <c r="P360" s="1"/>
      <c r="R360" s="1"/>
      <c r="S360" s="1"/>
      <c r="X360" s="1"/>
      <c r="Y360" s="1"/>
      <c r="AB360" s="1"/>
      <c r="AC360" s="1"/>
    </row>
    <row r="361" customFormat="false" ht="12.8" hidden="false" customHeight="false" outlineLevel="0" collapsed="false">
      <c r="A361" s="3"/>
      <c r="B361" s="1"/>
      <c r="C361" s="1"/>
      <c r="D361" s="1"/>
      <c r="E361" s="1"/>
      <c r="F361" s="1"/>
      <c r="G361" s="1"/>
      <c r="H361" s="1"/>
      <c r="I361" s="1"/>
      <c r="K361" s="1"/>
      <c r="L361" s="1"/>
      <c r="O361" s="1"/>
      <c r="P361" s="1"/>
      <c r="R361" s="1"/>
      <c r="S361" s="1"/>
      <c r="X361" s="1"/>
      <c r="Y361" s="1"/>
      <c r="AB361" s="1"/>
      <c r="AC361" s="1"/>
    </row>
    <row r="362" customFormat="false" ht="12.8" hidden="false" customHeight="false" outlineLevel="0" collapsed="false">
      <c r="A362" s="3"/>
      <c r="B362" s="1"/>
      <c r="C362" s="1"/>
      <c r="D362" s="1"/>
      <c r="E362" s="1"/>
      <c r="F362" s="1"/>
      <c r="G362" s="1"/>
      <c r="H362" s="1"/>
      <c r="I362" s="1"/>
      <c r="K362" s="1"/>
      <c r="L362" s="1"/>
      <c r="O362" s="1"/>
      <c r="P362" s="1"/>
      <c r="R362" s="1"/>
      <c r="S362" s="1"/>
      <c r="X362" s="1"/>
      <c r="Y362" s="1"/>
      <c r="AB362" s="1"/>
      <c r="AC362" s="1"/>
    </row>
    <row r="363" customFormat="false" ht="12.8" hidden="false" customHeight="false" outlineLevel="0" collapsed="false">
      <c r="A363" s="3"/>
      <c r="B363" s="1"/>
      <c r="C363" s="1"/>
      <c r="D363" s="1"/>
      <c r="E363" s="1"/>
      <c r="F363" s="1"/>
      <c r="G363" s="1"/>
      <c r="H363" s="1"/>
      <c r="I363" s="1"/>
      <c r="K363" s="1"/>
      <c r="L363" s="1"/>
      <c r="O363" s="1"/>
      <c r="P363" s="1"/>
      <c r="R363" s="1"/>
      <c r="S363" s="1"/>
      <c r="X363" s="1"/>
      <c r="Y363" s="1"/>
      <c r="AB363" s="1"/>
      <c r="AC363" s="1"/>
    </row>
    <row r="364" customFormat="false" ht="12.8" hidden="false" customHeight="false" outlineLevel="0" collapsed="false">
      <c r="A364" s="3"/>
      <c r="B364" s="1"/>
      <c r="C364" s="1"/>
      <c r="D364" s="1"/>
      <c r="E364" s="1"/>
      <c r="F364" s="1"/>
      <c r="G364" s="1"/>
      <c r="H364" s="1"/>
      <c r="I364" s="1"/>
      <c r="K364" s="1"/>
      <c r="L364" s="1"/>
      <c r="O364" s="1"/>
      <c r="P364" s="1"/>
      <c r="R364" s="1"/>
      <c r="S364" s="1"/>
      <c r="X364" s="1"/>
      <c r="Y364" s="1"/>
      <c r="AB364" s="1"/>
      <c r="AC364" s="1"/>
    </row>
    <row r="365" customFormat="false" ht="12.8" hidden="false" customHeight="false" outlineLevel="0" collapsed="false">
      <c r="A365" s="3"/>
      <c r="B365" s="1"/>
      <c r="C365" s="1"/>
      <c r="D365" s="1"/>
      <c r="E365" s="1"/>
      <c r="F365" s="1"/>
      <c r="G365" s="1"/>
      <c r="H365" s="1"/>
      <c r="I365" s="1"/>
      <c r="K365" s="1"/>
      <c r="L365" s="1"/>
      <c r="O365" s="1"/>
      <c r="P365" s="1"/>
      <c r="R365" s="1"/>
      <c r="S365" s="1"/>
      <c r="X365" s="1"/>
      <c r="Y365" s="1"/>
      <c r="AB365" s="1"/>
      <c r="AC365" s="1"/>
    </row>
    <row r="366" customFormat="false" ht="12.8" hidden="false" customHeight="false" outlineLevel="0" collapsed="false">
      <c r="A366" s="3"/>
      <c r="B366" s="1"/>
      <c r="C366" s="1"/>
      <c r="D366" s="1"/>
      <c r="E366" s="1"/>
      <c r="F366" s="1"/>
      <c r="G366" s="1"/>
      <c r="H366" s="1"/>
      <c r="I366" s="1"/>
      <c r="K366" s="1"/>
      <c r="L366" s="1"/>
      <c r="O366" s="1"/>
      <c r="P366" s="1"/>
      <c r="R366" s="1"/>
      <c r="S366" s="1"/>
      <c r="X366" s="1"/>
      <c r="Y366" s="1"/>
      <c r="AB366" s="1"/>
      <c r="AC366" s="1"/>
    </row>
    <row r="367" customFormat="false" ht="12.8" hidden="false" customHeight="false" outlineLevel="0" collapsed="false">
      <c r="A367" s="3"/>
      <c r="B367" s="1"/>
      <c r="C367" s="1"/>
      <c r="D367" s="1"/>
      <c r="E367" s="1"/>
      <c r="F367" s="1"/>
      <c r="G367" s="1"/>
      <c r="H367" s="1"/>
      <c r="I367" s="1"/>
      <c r="K367" s="1"/>
      <c r="L367" s="1"/>
      <c r="O367" s="1"/>
      <c r="P367" s="1"/>
      <c r="R367" s="1"/>
      <c r="S367" s="1"/>
      <c r="X367" s="1"/>
      <c r="Y367" s="1"/>
      <c r="AB367" s="1"/>
      <c r="AC367" s="1"/>
    </row>
    <row r="368" customFormat="false" ht="12.8" hidden="false" customHeight="false" outlineLevel="0" collapsed="false">
      <c r="A368" s="3"/>
      <c r="B368" s="1"/>
      <c r="C368" s="1"/>
      <c r="D368" s="1"/>
      <c r="E368" s="1"/>
      <c r="F368" s="1"/>
      <c r="G368" s="1"/>
      <c r="H368" s="1"/>
      <c r="I368" s="1"/>
      <c r="K368" s="1"/>
      <c r="L368" s="1"/>
      <c r="O368" s="1"/>
      <c r="P368" s="1"/>
      <c r="R368" s="1"/>
      <c r="S368" s="1"/>
      <c r="X368" s="1"/>
      <c r="Y368" s="1"/>
      <c r="AB368" s="1"/>
      <c r="AC368" s="1"/>
    </row>
    <row r="369" customFormat="false" ht="12.8" hidden="false" customHeight="false" outlineLevel="0" collapsed="false">
      <c r="A369" s="3"/>
      <c r="B369" s="1"/>
      <c r="C369" s="1"/>
      <c r="D369" s="1"/>
      <c r="E369" s="1"/>
      <c r="F369" s="1"/>
      <c r="G369" s="1"/>
      <c r="H369" s="1"/>
      <c r="I369" s="1"/>
      <c r="K369" s="1"/>
      <c r="L369" s="1"/>
      <c r="O369" s="1"/>
      <c r="P369" s="1"/>
      <c r="R369" s="1"/>
      <c r="S369" s="1"/>
      <c r="X369" s="1"/>
      <c r="Y369" s="1"/>
      <c r="AB369" s="1"/>
      <c r="AC369" s="1"/>
    </row>
    <row r="370" customFormat="false" ht="12.8" hidden="false" customHeight="false" outlineLevel="0" collapsed="false">
      <c r="A370" s="3"/>
      <c r="B370" s="1"/>
      <c r="C370" s="1"/>
      <c r="D370" s="1"/>
      <c r="E370" s="1"/>
      <c r="F370" s="1"/>
      <c r="G370" s="1"/>
      <c r="H370" s="1"/>
      <c r="I370" s="1"/>
      <c r="K370" s="1"/>
      <c r="L370" s="1"/>
      <c r="O370" s="1"/>
      <c r="P370" s="1"/>
      <c r="R370" s="1"/>
      <c r="S370" s="1"/>
      <c r="X370" s="1"/>
      <c r="Y370" s="1"/>
      <c r="AB370" s="1"/>
      <c r="AC370" s="1"/>
    </row>
    <row r="371" customFormat="false" ht="12.8" hidden="false" customHeight="false" outlineLevel="0" collapsed="false">
      <c r="A371" s="3"/>
      <c r="B371" s="1"/>
      <c r="C371" s="1"/>
      <c r="D371" s="1"/>
      <c r="E371" s="1"/>
      <c r="F371" s="1"/>
      <c r="G371" s="1"/>
      <c r="H371" s="1"/>
      <c r="I371" s="1"/>
      <c r="K371" s="1"/>
      <c r="L371" s="1"/>
      <c r="O371" s="1"/>
      <c r="P371" s="1"/>
      <c r="R371" s="1"/>
      <c r="S371" s="1"/>
      <c r="X371" s="1"/>
      <c r="Y371" s="1"/>
      <c r="AB371" s="1"/>
      <c r="AC371" s="1"/>
    </row>
    <row r="372" customFormat="false" ht="12.8" hidden="false" customHeight="false" outlineLevel="0" collapsed="false">
      <c r="A372" s="3"/>
      <c r="B372" s="1"/>
      <c r="C372" s="1"/>
      <c r="D372" s="1"/>
      <c r="E372" s="1"/>
      <c r="F372" s="1"/>
      <c r="G372" s="1"/>
      <c r="H372" s="1"/>
      <c r="I372" s="1"/>
      <c r="K372" s="1"/>
      <c r="L372" s="1"/>
      <c r="O372" s="1"/>
      <c r="P372" s="1"/>
      <c r="R372" s="1"/>
      <c r="S372" s="1"/>
      <c r="X372" s="1"/>
      <c r="Y372" s="1"/>
      <c r="AB372" s="1"/>
      <c r="AC372" s="1"/>
    </row>
    <row r="373" customFormat="false" ht="12.8" hidden="false" customHeight="false" outlineLevel="0" collapsed="false">
      <c r="A373" s="3"/>
      <c r="B373" s="1"/>
      <c r="C373" s="1"/>
      <c r="D373" s="1"/>
      <c r="E373" s="1"/>
      <c r="F373" s="1"/>
      <c r="G373" s="1"/>
      <c r="H373" s="1"/>
      <c r="I373" s="1"/>
      <c r="K373" s="1"/>
      <c r="L373" s="1"/>
      <c r="O373" s="1"/>
      <c r="P373" s="1"/>
      <c r="R373" s="1"/>
      <c r="S373" s="1"/>
      <c r="X373" s="1"/>
      <c r="Y373" s="1"/>
      <c r="AB373" s="1"/>
      <c r="AC373" s="1"/>
    </row>
    <row r="374" customFormat="false" ht="12.8" hidden="false" customHeight="false" outlineLevel="0" collapsed="false">
      <c r="A374" s="3"/>
      <c r="B374" s="1"/>
      <c r="C374" s="1"/>
      <c r="D374" s="1"/>
      <c r="E374" s="1"/>
      <c r="F374" s="1"/>
      <c r="G374" s="1"/>
      <c r="H374" s="1"/>
      <c r="I374" s="1"/>
      <c r="K374" s="1"/>
      <c r="L374" s="1"/>
      <c r="O374" s="1"/>
      <c r="P374" s="1"/>
      <c r="R374" s="1"/>
      <c r="S374" s="1"/>
      <c r="X374" s="1"/>
      <c r="Y374" s="1"/>
      <c r="AB374" s="1"/>
      <c r="AC374" s="1"/>
    </row>
    <row r="375" customFormat="false" ht="12.8" hidden="false" customHeight="false" outlineLevel="0" collapsed="false">
      <c r="A375" s="3"/>
      <c r="B375" s="1"/>
      <c r="C375" s="1"/>
      <c r="D375" s="1"/>
      <c r="E375" s="1"/>
      <c r="F375" s="1"/>
      <c r="G375" s="1"/>
      <c r="H375" s="1"/>
      <c r="I375" s="1"/>
      <c r="K375" s="1"/>
      <c r="L375" s="1"/>
      <c r="O375" s="1"/>
      <c r="P375" s="1"/>
      <c r="R375" s="1"/>
      <c r="S375" s="1"/>
      <c r="X375" s="1"/>
      <c r="Y375" s="1"/>
      <c r="AB375" s="1"/>
      <c r="AC375" s="1"/>
    </row>
    <row r="376" customFormat="false" ht="12.8" hidden="false" customHeight="false" outlineLevel="0" collapsed="false">
      <c r="A376" s="3"/>
      <c r="B376" s="1"/>
      <c r="C376" s="1"/>
      <c r="D376" s="1"/>
      <c r="E376" s="1"/>
      <c r="F376" s="1"/>
      <c r="G376" s="1"/>
      <c r="H376" s="1"/>
      <c r="I376" s="1"/>
      <c r="K376" s="1"/>
      <c r="L376" s="1"/>
      <c r="O376" s="1"/>
      <c r="P376" s="1"/>
      <c r="R376" s="1"/>
      <c r="S376" s="1"/>
      <c r="X376" s="1"/>
      <c r="Y376" s="1"/>
      <c r="AB376" s="1"/>
      <c r="AC376" s="1"/>
    </row>
    <row r="377" customFormat="false" ht="12.8" hidden="false" customHeight="false" outlineLevel="0" collapsed="false">
      <c r="A377" s="3"/>
      <c r="B377" s="1"/>
      <c r="C377" s="1"/>
      <c r="D377" s="1"/>
      <c r="E377" s="1"/>
      <c r="F377" s="1"/>
      <c r="G377" s="1"/>
      <c r="H377" s="1"/>
      <c r="I377" s="1"/>
      <c r="K377" s="1"/>
      <c r="L377" s="1"/>
      <c r="O377" s="1"/>
      <c r="P377" s="1"/>
      <c r="R377" s="1"/>
      <c r="S377" s="1"/>
      <c r="X377" s="1"/>
      <c r="Y377" s="1"/>
      <c r="AB377" s="1"/>
      <c r="AC377" s="1"/>
    </row>
    <row r="378" customFormat="false" ht="12.8" hidden="false" customHeight="false" outlineLevel="0" collapsed="false">
      <c r="A378" s="3"/>
      <c r="B378" s="1"/>
      <c r="C378" s="1"/>
      <c r="D378" s="1"/>
      <c r="E378" s="1"/>
      <c r="F378" s="1"/>
      <c r="G378" s="1"/>
      <c r="H378" s="1"/>
      <c r="I378" s="1"/>
      <c r="K378" s="1"/>
      <c r="L378" s="1"/>
      <c r="O378" s="1"/>
      <c r="P378" s="1"/>
      <c r="R378" s="1"/>
      <c r="S378" s="1"/>
      <c r="X378" s="1"/>
      <c r="Y378" s="1"/>
      <c r="AB378" s="1"/>
      <c r="AC378" s="1"/>
    </row>
    <row r="379" customFormat="false" ht="12.8" hidden="false" customHeight="false" outlineLevel="0" collapsed="false">
      <c r="A379" s="3"/>
      <c r="B379" s="1"/>
      <c r="C379" s="1"/>
      <c r="D379" s="1"/>
      <c r="E379" s="1"/>
      <c r="F379" s="1"/>
      <c r="G379" s="1"/>
      <c r="H379" s="1"/>
      <c r="I379" s="1"/>
      <c r="K379" s="1"/>
      <c r="L379" s="1"/>
      <c r="O379" s="1"/>
      <c r="P379" s="1"/>
      <c r="R379" s="1"/>
      <c r="S379" s="1"/>
      <c r="X379" s="1"/>
      <c r="Y379" s="1"/>
      <c r="AB379" s="1"/>
      <c r="AC379" s="1"/>
    </row>
    <row r="380" customFormat="false" ht="12.8" hidden="false" customHeight="false" outlineLevel="0" collapsed="false">
      <c r="A380" s="3"/>
      <c r="B380" s="1"/>
      <c r="C380" s="1"/>
      <c r="D380" s="1"/>
      <c r="E380" s="1"/>
      <c r="F380" s="1"/>
      <c r="G380" s="1"/>
      <c r="H380" s="1"/>
      <c r="I380" s="1"/>
      <c r="K380" s="1"/>
      <c r="L380" s="1"/>
      <c r="O380" s="1"/>
      <c r="P380" s="1"/>
      <c r="R380" s="1"/>
      <c r="S380" s="1"/>
      <c r="X380" s="1"/>
      <c r="Y380" s="1"/>
      <c r="AB380" s="1"/>
      <c r="AC380" s="1"/>
    </row>
    <row r="381" customFormat="false" ht="12.8" hidden="false" customHeight="false" outlineLevel="0" collapsed="false">
      <c r="A381" s="3"/>
      <c r="B381" s="1"/>
      <c r="C381" s="1"/>
      <c r="D381" s="1"/>
      <c r="E381" s="1"/>
      <c r="F381" s="1"/>
      <c r="G381" s="1"/>
      <c r="H381" s="1"/>
      <c r="I381" s="1"/>
      <c r="K381" s="1"/>
      <c r="L381" s="1"/>
      <c r="O381" s="1"/>
      <c r="P381" s="1"/>
      <c r="R381" s="1"/>
      <c r="S381" s="1"/>
      <c r="X381" s="1"/>
      <c r="Y381" s="1"/>
      <c r="AB381" s="1"/>
      <c r="AC381" s="1"/>
    </row>
    <row r="382" customFormat="false" ht="12.8" hidden="false" customHeight="false" outlineLevel="0" collapsed="false">
      <c r="A382" s="3"/>
      <c r="B382" s="1"/>
      <c r="C382" s="1"/>
      <c r="D382" s="1"/>
      <c r="E382" s="1"/>
      <c r="F382" s="1"/>
      <c r="G382" s="1"/>
      <c r="H382" s="1"/>
      <c r="I382" s="1"/>
      <c r="K382" s="1"/>
      <c r="L382" s="1"/>
      <c r="O382" s="1"/>
      <c r="P382" s="1"/>
      <c r="R382" s="1"/>
      <c r="S382" s="1"/>
      <c r="X382" s="1"/>
      <c r="Y382" s="1"/>
      <c r="AB382" s="1"/>
      <c r="AC382" s="1"/>
    </row>
    <row r="383" customFormat="false" ht="12.8" hidden="false" customHeight="false" outlineLevel="0" collapsed="false">
      <c r="A383" s="3"/>
      <c r="B383" s="1"/>
      <c r="C383" s="1"/>
      <c r="D383" s="1"/>
      <c r="E383" s="1"/>
      <c r="F383" s="1"/>
      <c r="G383" s="1"/>
      <c r="H383" s="1"/>
      <c r="I383" s="1"/>
      <c r="K383" s="1"/>
      <c r="L383" s="1"/>
      <c r="O383" s="1"/>
      <c r="P383" s="1"/>
      <c r="R383" s="1"/>
      <c r="S383" s="1"/>
      <c r="X383" s="1"/>
      <c r="Y383" s="1"/>
      <c r="AB383" s="1"/>
      <c r="AC383" s="1"/>
    </row>
    <row r="384" customFormat="false" ht="12.8" hidden="false" customHeight="false" outlineLevel="0" collapsed="false">
      <c r="A384" s="3"/>
      <c r="B384" s="1"/>
      <c r="C384" s="1"/>
      <c r="D384" s="1"/>
      <c r="E384" s="1"/>
      <c r="F384" s="1"/>
      <c r="G384" s="1"/>
      <c r="H384" s="1"/>
      <c r="I384" s="1"/>
      <c r="K384" s="1"/>
      <c r="L384" s="1"/>
      <c r="O384" s="1"/>
      <c r="P384" s="1"/>
      <c r="R384" s="1"/>
      <c r="S384" s="1"/>
      <c r="X384" s="1"/>
      <c r="Y384" s="1"/>
      <c r="AB384" s="1"/>
      <c r="AC384" s="1"/>
    </row>
    <row r="385" customFormat="false" ht="12.8" hidden="false" customHeight="false" outlineLevel="0" collapsed="false">
      <c r="A385" s="3"/>
      <c r="B385" s="1"/>
      <c r="C385" s="1"/>
      <c r="D385" s="1"/>
      <c r="E385" s="1"/>
      <c r="F385" s="1"/>
      <c r="G385" s="1"/>
      <c r="H385" s="1"/>
      <c r="I385" s="1"/>
      <c r="K385" s="1"/>
      <c r="L385" s="1"/>
      <c r="O385" s="1"/>
      <c r="P385" s="1"/>
      <c r="R385" s="1"/>
      <c r="S385" s="1"/>
      <c r="X385" s="1"/>
      <c r="Y385" s="1"/>
      <c r="AB385" s="1"/>
      <c r="AC385" s="1"/>
    </row>
    <row r="386" customFormat="false" ht="12.8" hidden="false" customHeight="false" outlineLevel="0" collapsed="false">
      <c r="A386" s="3"/>
      <c r="B386" s="1"/>
      <c r="C386" s="1"/>
      <c r="D386" s="1"/>
      <c r="E386" s="1"/>
      <c r="F386" s="1"/>
      <c r="G386" s="1"/>
      <c r="H386" s="1"/>
      <c r="I386" s="1"/>
      <c r="K386" s="1"/>
      <c r="L386" s="1"/>
      <c r="O386" s="1"/>
      <c r="P386" s="1"/>
      <c r="R386" s="1"/>
      <c r="S386" s="1"/>
      <c r="X386" s="1"/>
      <c r="Y386" s="1"/>
      <c r="AB386" s="1"/>
      <c r="AC386" s="1"/>
    </row>
    <row r="387" customFormat="false" ht="12.8" hidden="false" customHeight="false" outlineLevel="0" collapsed="false">
      <c r="A387" s="3"/>
      <c r="B387" s="1"/>
      <c r="C387" s="1"/>
      <c r="D387" s="1"/>
      <c r="E387" s="1"/>
      <c r="F387" s="1"/>
      <c r="G387" s="1"/>
      <c r="H387" s="1"/>
      <c r="I387" s="1"/>
      <c r="K387" s="1"/>
      <c r="L387" s="1"/>
      <c r="O387" s="1"/>
      <c r="P387" s="1"/>
      <c r="R387" s="1"/>
      <c r="S387" s="1"/>
      <c r="X387" s="1"/>
      <c r="Y387" s="1"/>
      <c r="AB387" s="1"/>
      <c r="AC387" s="1"/>
    </row>
    <row r="388" customFormat="false" ht="12.8" hidden="false" customHeight="false" outlineLevel="0" collapsed="false">
      <c r="A388" s="3"/>
      <c r="B388" s="1"/>
      <c r="C388" s="1"/>
      <c r="D388" s="1"/>
      <c r="E388" s="1"/>
      <c r="F388" s="1"/>
      <c r="G388" s="1"/>
      <c r="H388" s="1"/>
      <c r="I388" s="1"/>
      <c r="K388" s="1"/>
      <c r="L388" s="1"/>
      <c r="O388" s="1"/>
      <c r="P388" s="1"/>
      <c r="R388" s="1"/>
      <c r="S388" s="1"/>
      <c r="X388" s="1"/>
      <c r="Y388" s="1"/>
      <c r="AB388" s="1"/>
      <c r="AC388" s="1"/>
    </row>
    <row r="389" customFormat="false" ht="12.8" hidden="false" customHeight="false" outlineLevel="0" collapsed="false">
      <c r="A389" s="3"/>
      <c r="B389" s="1"/>
      <c r="C389" s="1"/>
      <c r="D389" s="1"/>
      <c r="E389" s="1"/>
      <c r="G389" s="1"/>
      <c r="H389" s="1"/>
      <c r="I389" s="1"/>
      <c r="K389" s="1"/>
      <c r="L389" s="1"/>
      <c r="O389" s="1"/>
      <c r="P389" s="1"/>
      <c r="Q389" s="1"/>
      <c r="R389" s="1"/>
      <c r="S389" s="1"/>
      <c r="X389" s="1"/>
      <c r="Y389" s="1"/>
      <c r="AC389" s="1"/>
    </row>
    <row r="390" customFormat="false" ht="12.8" hidden="false" customHeight="false" outlineLevel="0" collapsed="false">
      <c r="A390" s="3"/>
      <c r="B390" s="1"/>
      <c r="C390" s="1"/>
      <c r="D390" s="1"/>
      <c r="E390" s="1"/>
      <c r="G390" s="1"/>
      <c r="H390" s="1"/>
      <c r="I390" s="1"/>
      <c r="K390" s="1"/>
      <c r="L390" s="1"/>
      <c r="O390" s="1"/>
      <c r="P390" s="1"/>
      <c r="Q390" s="1"/>
      <c r="R390" s="1"/>
      <c r="S390" s="1"/>
      <c r="X390" s="1"/>
      <c r="Y390" s="1"/>
      <c r="AC390" s="1"/>
    </row>
    <row r="391" customFormat="false" ht="12.8" hidden="false" customHeight="false" outlineLevel="0" collapsed="false">
      <c r="A391" s="3"/>
      <c r="B391" s="1"/>
      <c r="C391" s="1"/>
      <c r="D391" s="1"/>
      <c r="E391" s="1"/>
      <c r="G391" s="1"/>
      <c r="H391" s="1"/>
      <c r="I391" s="1"/>
      <c r="K391" s="1"/>
      <c r="L391" s="1"/>
      <c r="O391" s="1"/>
      <c r="P391" s="1"/>
      <c r="Q391" s="1"/>
      <c r="R391" s="1"/>
      <c r="S391" s="1"/>
      <c r="X391" s="1"/>
      <c r="Y391" s="1"/>
      <c r="AC391" s="1"/>
    </row>
    <row r="392" customFormat="false" ht="12.8" hidden="false" customHeight="false" outlineLevel="0" collapsed="false">
      <c r="A392" s="3"/>
      <c r="B392" s="1"/>
      <c r="C392" s="1"/>
      <c r="D392" s="1"/>
      <c r="E392" s="1"/>
      <c r="G392" s="1"/>
      <c r="H392" s="1"/>
      <c r="I392" s="1"/>
      <c r="K392" s="1"/>
      <c r="L392" s="1"/>
      <c r="O392" s="1"/>
      <c r="P392" s="1"/>
      <c r="Q392" s="1"/>
      <c r="R392" s="1"/>
      <c r="S392" s="1"/>
      <c r="X392" s="1"/>
      <c r="Y392" s="1"/>
      <c r="AC392" s="1"/>
    </row>
    <row r="393" customFormat="false" ht="12.8" hidden="false" customHeight="false" outlineLevel="0" collapsed="false">
      <c r="A393" s="3"/>
      <c r="B393" s="1"/>
      <c r="C393" s="1"/>
      <c r="D393" s="1"/>
      <c r="E393" s="1"/>
      <c r="G393" s="1"/>
      <c r="H393" s="1"/>
      <c r="I393" s="1"/>
      <c r="K393" s="1"/>
      <c r="L393" s="1"/>
      <c r="O393" s="1"/>
      <c r="P393" s="1"/>
      <c r="Q393" s="1"/>
      <c r="R393" s="1"/>
      <c r="S393" s="1"/>
      <c r="X393" s="1"/>
      <c r="Y393" s="1"/>
      <c r="AC393" s="1"/>
    </row>
    <row r="394" customFormat="false" ht="12.8" hidden="false" customHeight="false" outlineLevel="0" collapsed="false">
      <c r="A394" s="3"/>
      <c r="B394" s="1"/>
      <c r="C394" s="1"/>
      <c r="D394" s="1"/>
      <c r="E394" s="1"/>
      <c r="G394" s="1"/>
      <c r="H394" s="1"/>
      <c r="I394" s="1"/>
      <c r="K394" s="1"/>
      <c r="L394" s="1"/>
      <c r="O394" s="1"/>
      <c r="P394" s="1"/>
      <c r="Q394" s="1"/>
      <c r="R394" s="1"/>
      <c r="S394" s="1"/>
      <c r="X394" s="1"/>
      <c r="Y394" s="1"/>
      <c r="AC394" s="1"/>
    </row>
    <row r="395" customFormat="false" ht="12.8" hidden="false" customHeight="false" outlineLevel="0" collapsed="false">
      <c r="A395" s="3"/>
      <c r="B395" s="1"/>
      <c r="C395" s="1"/>
      <c r="D395" s="1"/>
      <c r="E395" s="1"/>
      <c r="G395" s="1"/>
      <c r="H395" s="1"/>
      <c r="I395" s="1"/>
      <c r="K395" s="1"/>
      <c r="L395" s="1"/>
      <c r="O395" s="1"/>
      <c r="P395" s="1"/>
      <c r="Q395" s="1"/>
      <c r="R395" s="1"/>
      <c r="S395" s="1"/>
      <c r="X395" s="1"/>
      <c r="Y395" s="1"/>
      <c r="AC395" s="1"/>
    </row>
    <row r="396" customFormat="false" ht="12.8" hidden="false" customHeight="false" outlineLevel="0" collapsed="false">
      <c r="A396" s="3"/>
      <c r="B396" s="1"/>
      <c r="C396" s="1"/>
      <c r="D396" s="1"/>
      <c r="E396" s="1"/>
      <c r="G396" s="1"/>
      <c r="H396" s="1"/>
      <c r="I396" s="1"/>
      <c r="K396" s="1"/>
      <c r="L396" s="1"/>
      <c r="O396" s="1"/>
      <c r="P396" s="1"/>
      <c r="Q396" s="1"/>
      <c r="R396" s="1"/>
      <c r="S396" s="1"/>
      <c r="X396" s="1"/>
      <c r="Y396" s="1"/>
      <c r="AC396" s="1"/>
    </row>
    <row r="397" customFormat="false" ht="12.8" hidden="false" customHeight="false" outlineLevel="0" collapsed="false">
      <c r="A397" s="3"/>
      <c r="B397" s="1"/>
      <c r="C397" s="1"/>
      <c r="D397" s="1"/>
      <c r="E397" s="1"/>
      <c r="G397" s="1"/>
      <c r="H397" s="1"/>
      <c r="I397" s="1"/>
      <c r="K397" s="1"/>
      <c r="L397" s="1"/>
      <c r="O397" s="1"/>
      <c r="P397" s="1"/>
      <c r="Q397" s="1"/>
      <c r="R397" s="1"/>
      <c r="S397" s="1"/>
      <c r="X397" s="1"/>
      <c r="Y397" s="1"/>
      <c r="AC397" s="1"/>
    </row>
    <row r="398" customFormat="false" ht="12.8" hidden="false" customHeight="false" outlineLevel="0" collapsed="false">
      <c r="A398" s="3"/>
      <c r="B398" s="1"/>
      <c r="C398" s="1"/>
      <c r="D398" s="1"/>
      <c r="E398" s="1"/>
      <c r="G398" s="1"/>
      <c r="H398" s="1"/>
      <c r="I398" s="1"/>
      <c r="K398" s="1"/>
      <c r="L398" s="1"/>
      <c r="O398" s="1"/>
      <c r="P398" s="1"/>
      <c r="Q398" s="1"/>
      <c r="R398" s="1"/>
      <c r="S398" s="1"/>
      <c r="X398" s="1"/>
      <c r="Y398" s="1"/>
      <c r="AC398" s="1"/>
    </row>
    <row r="399" customFormat="false" ht="12.8" hidden="false" customHeight="false" outlineLevel="0" collapsed="false">
      <c r="A399" s="3"/>
      <c r="B399" s="1"/>
      <c r="C399" s="1"/>
      <c r="D399" s="1"/>
      <c r="E399" s="1"/>
      <c r="G399" s="1"/>
      <c r="H399" s="1"/>
      <c r="I399" s="1"/>
      <c r="K399" s="1"/>
      <c r="L399" s="1"/>
      <c r="O399" s="1"/>
      <c r="P399" s="1"/>
      <c r="Q399" s="1"/>
      <c r="R399" s="1"/>
      <c r="S399" s="1"/>
      <c r="X399" s="1"/>
      <c r="Y399" s="1"/>
      <c r="AC399" s="1"/>
    </row>
    <row r="400" customFormat="false" ht="12.8" hidden="false" customHeight="false" outlineLevel="0" collapsed="false">
      <c r="A400" s="3"/>
      <c r="B400" s="1"/>
      <c r="C400" s="1"/>
      <c r="D400" s="1"/>
      <c r="E400" s="1"/>
      <c r="G400" s="1"/>
      <c r="H400" s="1"/>
      <c r="I400" s="1"/>
      <c r="K400" s="1"/>
      <c r="L400" s="1"/>
      <c r="O400" s="1"/>
      <c r="P400" s="1"/>
      <c r="Q400" s="1"/>
      <c r="R400" s="1"/>
      <c r="S400" s="1"/>
      <c r="X400" s="1"/>
      <c r="Y400" s="1"/>
      <c r="AC400" s="1"/>
    </row>
    <row r="401" customFormat="false" ht="12.8" hidden="false" customHeight="false" outlineLevel="0" collapsed="false">
      <c r="A401" s="3"/>
      <c r="B401" s="1"/>
      <c r="C401" s="1"/>
      <c r="D401" s="1"/>
      <c r="E401" s="1"/>
      <c r="G401" s="1"/>
      <c r="H401" s="1"/>
      <c r="I401" s="1"/>
      <c r="K401" s="1"/>
      <c r="L401" s="1"/>
      <c r="O401" s="1"/>
      <c r="P401" s="1"/>
      <c r="Q401" s="1"/>
      <c r="R401" s="1"/>
      <c r="S401" s="1"/>
      <c r="X401" s="1"/>
      <c r="Y401" s="1"/>
      <c r="AC401" s="1"/>
    </row>
    <row r="402" customFormat="false" ht="12.8" hidden="false" customHeight="false" outlineLevel="0" collapsed="false">
      <c r="A402" s="3"/>
      <c r="B402" s="1"/>
      <c r="C402" s="1"/>
      <c r="D402" s="1"/>
      <c r="E402" s="1"/>
      <c r="G402" s="1"/>
      <c r="H402" s="1"/>
      <c r="I402" s="1"/>
      <c r="K402" s="1"/>
      <c r="L402" s="1"/>
      <c r="O402" s="1"/>
      <c r="P402" s="1"/>
      <c r="Q402" s="1"/>
      <c r="R402" s="1"/>
      <c r="S402" s="1"/>
      <c r="X402" s="1"/>
      <c r="Y402" s="1"/>
      <c r="AC402" s="1"/>
    </row>
    <row r="403" customFormat="false" ht="12.8" hidden="false" customHeight="false" outlineLevel="0" collapsed="false">
      <c r="A403" s="3"/>
      <c r="B403" s="1"/>
      <c r="C403" s="1"/>
      <c r="D403" s="1"/>
      <c r="E403" s="1"/>
      <c r="G403" s="1"/>
      <c r="H403" s="1"/>
      <c r="I403" s="1"/>
      <c r="K403" s="1"/>
      <c r="L403" s="1"/>
      <c r="O403" s="1"/>
      <c r="P403" s="1"/>
      <c r="Q403" s="1"/>
      <c r="R403" s="1"/>
      <c r="S403" s="1"/>
      <c r="X403" s="1"/>
      <c r="Y403" s="1"/>
      <c r="AC403" s="1"/>
    </row>
    <row r="404" customFormat="false" ht="12.8" hidden="false" customHeight="false" outlineLevel="0" collapsed="false">
      <c r="A404" s="3"/>
      <c r="B404" s="1"/>
      <c r="C404" s="1"/>
      <c r="D404" s="1"/>
      <c r="E404" s="1"/>
      <c r="G404" s="1"/>
      <c r="H404" s="1"/>
      <c r="I404" s="1"/>
      <c r="K404" s="1"/>
      <c r="L404" s="1"/>
      <c r="O404" s="1"/>
      <c r="P404" s="1"/>
      <c r="Q404" s="1"/>
      <c r="R404" s="1"/>
      <c r="S404" s="1"/>
      <c r="X404" s="1"/>
      <c r="Y404" s="1"/>
      <c r="AC404" s="1"/>
    </row>
    <row r="405" customFormat="false" ht="12.8" hidden="false" customHeight="false" outlineLevel="0" collapsed="false">
      <c r="A405" s="3"/>
      <c r="B405" s="1"/>
      <c r="C405" s="1"/>
      <c r="D405" s="1"/>
      <c r="E405" s="1"/>
      <c r="G405" s="1"/>
      <c r="H405" s="1"/>
      <c r="I405" s="1"/>
      <c r="K405" s="1"/>
      <c r="L405" s="1"/>
      <c r="O405" s="1"/>
      <c r="P405" s="1"/>
      <c r="Q405" s="1"/>
      <c r="R405" s="1"/>
      <c r="S405" s="1"/>
      <c r="X405" s="1"/>
      <c r="Y405" s="1"/>
      <c r="AC405" s="1"/>
    </row>
    <row r="406" customFormat="false" ht="12.8" hidden="false" customHeight="false" outlineLevel="0" collapsed="false">
      <c r="A406" s="3"/>
      <c r="B406" s="1"/>
      <c r="C406" s="1"/>
      <c r="D406" s="1"/>
      <c r="E406" s="1"/>
      <c r="F406" s="1"/>
      <c r="G406" s="1"/>
      <c r="H406" s="1"/>
      <c r="I406" s="1"/>
      <c r="K406" s="1"/>
      <c r="L406" s="1"/>
      <c r="O406" s="1"/>
      <c r="P406" s="1"/>
      <c r="R406" s="1"/>
      <c r="S406" s="1"/>
      <c r="X406" s="1"/>
      <c r="AB406" s="1"/>
      <c r="AC406" s="1"/>
    </row>
    <row r="407" customFormat="false" ht="12.8" hidden="false" customHeight="false" outlineLevel="0" collapsed="false">
      <c r="A407" s="3"/>
      <c r="B407" s="1"/>
      <c r="C407" s="1"/>
      <c r="D407" s="1"/>
      <c r="E407" s="1"/>
      <c r="F407" s="1"/>
      <c r="G407" s="1"/>
      <c r="H407" s="1"/>
      <c r="I407" s="1"/>
      <c r="K407" s="1"/>
      <c r="L407" s="1"/>
      <c r="O407" s="1"/>
      <c r="P407" s="1"/>
      <c r="R407" s="1"/>
      <c r="S407" s="1"/>
      <c r="X407" s="1"/>
      <c r="AB407" s="1"/>
      <c r="AC407" s="1"/>
    </row>
    <row r="408" customFormat="false" ht="12.8" hidden="false" customHeight="false" outlineLevel="0" collapsed="false">
      <c r="A408" s="3"/>
      <c r="B408" s="1"/>
      <c r="C408" s="1"/>
      <c r="D408" s="1"/>
      <c r="E408" s="1"/>
      <c r="F408" s="1"/>
      <c r="G408" s="1"/>
      <c r="H408" s="1"/>
      <c r="I408" s="1"/>
      <c r="K408" s="1"/>
      <c r="L408" s="1"/>
      <c r="O408" s="1"/>
      <c r="P408" s="1"/>
      <c r="R408" s="1"/>
      <c r="S408" s="1"/>
      <c r="X408" s="1"/>
      <c r="AC408" s="1"/>
    </row>
    <row r="409" customFormat="false" ht="12.8" hidden="false" customHeight="false" outlineLevel="0" collapsed="false">
      <c r="A409" s="3"/>
      <c r="B409" s="1"/>
      <c r="C409" s="1"/>
      <c r="D409" s="1"/>
      <c r="E409" s="1"/>
      <c r="F409" s="1"/>
      <c r="G409" s="1"/>
      <c r="H409" s="1"/>
      <c r="I409" s="1"/>
      <c r="K409" s="1"/>
      <c r="L409" s="1"/>
      <c r="O409" s="1"/>
      <c r="P409" s="1"/>
      <c r="R409" s="1"/>
      <c r="S409" s="1"/>
      <c r="X409" s="1"/>
      <c r="AC409" s="1"/>
    </row>
    <row r="410" customFormat="false" ht="12.8" hidden="false" customHeight="false" outlineLevel="0" collapsed="false">
      <c r="A410" s="3"/>
      <c r="B410" s="1"/>
      <c r="C410" s="1"/>
      <c r="D410" s="1"/>
      <c r="E410" s="1"/>
      <c r="F410" s="1"/>
      <c r="G410" s="1"/>
      <c r="H410" s="1"/>
      <c r="I410" s="1"/>
      <c r="K410" s="1"/>
      <c r="L410" s="1"/>
      <c r="O410" s="1"/>
      <c r="P410" s="1"/>
      <c r="R410" s="1"/>
      <c r="S410" s="1"/>
      <c r="X410" s="1"/>
      <c r="AC410" s="1"/>
    </row>
    <row r="411" customFormat="false" ht="12.8" hidden="false" customHeight="false" outlineLevel="0" collapsed="false">
      <c r="A411" s="3"/>
      <c r="B411" s="1"/>
      <c r="C411" s="1"/>
      <c r="D411" s="1"/>
      <c r="E411" s="1"/>
      <c r="F411" s="1"/>
      <c r="G411" s="1"/>
      <c r="H411" s="1"/>
      <c r="I411" s="1"/>
      <c r="K411" s="1"/>
      <c r="L411" s="1"/>
      <c r="O411" s="1"/>
      <c r="P411" s="1"/>
      <c r="R411" s="1"/>
      <c r="S411" s="1"/>
      <c r="X411" s="1"/>
      <c r="AC411" s="1"/>
    </row>
    <row r="412" customFormat="false" ht="12.8" hidden="false" customHeight="false" outlineLevel="0" collapsed="false">
      <c r="A412" s="3"/>
      <c r="B412" s="1"/>
      <c r="C412" s="1"/>
      <c r="D412" s="1"/>
      <c r="E412" s="1"/>
      <c r="F412" s="1"/>
      <c r="G412" s="1"/>
      <c r="H412" s="1"/>
      <c r="I412" s="1"/>
      <c r="K412" s="1"/>
      <c r="L412" s="1"/>
      <c r="O412" s="1"/>
      <c r="P412" s="1"/>
      <c r="R412" s="1"/>
      <c r="S412" s="1"/>
      <c r="X412" s="1"/>
      <c r="AC412" s="1"/>
    </row>
    <row r="413" customFormat="false" ht="12.8" hidden="false" customHeight="false" outlineLevel="0" collapsed="false">
      <c r="A413" s="3"/>
      <c r="B413" s="1"/>
      <c r="C413" s="1"/>
      <c r="D413" s="1"/>
      <c r="E413" s="1"/>
      <c r="F413" s="1"/>
      <c r="G413" s="1"/>
      <c r="H413" s="1"/>
      <c r="I413" s="1"/>
      <c r="K413" s="1"/>
      <c r="L413" s="1"/>
      <c r="O413" s="1"/>
      <c r="P413" s="1"/>
      <c r="R413" s="1"/>
      <c r="S413" s="1"/>
      <c r="X413" s="1"/>
      <c r="AC413" s="1"/>
    </row>
    <row r="414" customFormat="false" ht="12.8" hidden="false" customHeight="false" outlineLevel="0" collapsed="false">
      <c r="A414" s="3"/>
      <c r="B414" s="1"/>
      <c r="C414" s="1"/>
      <c r="D414" s="1"/>
      <c r="E414" s="1"/>
      <c r="F414" s="1"/>
      <c r="G414" s="1"/>
      <c r="H414" s="1"/>
      <c r="I414" s="1"/>
      <c r="K414" s="1"/>
      <c r="L414" s="1"/>
      <c r="O414" s="1"/>
      <c r="P414" s="1"/>
      <c r="R414" s="1"/>
      <c r="S414" s="1"/>
      <c r="X414" s="1"/>
      <c r="AC414" s="1"/>
    </row>
    <row r="415" customFormat="false" ht="12.8" hidden="false" customHeight="false" outlineLevel="0" collapsed="false">
      <c r="A415" s="3"/>
      <c r="B415" s="1"/>
      <c r="C415" s="1"/>
      <c r="D415" s="1"/>
      <c r="E415" s="1"/>
      <c r="F415" s="1"/>
      <c r="G415" s="1"/>
      <c r="H415" s="1"/>
      <c r="I415" s="1"/>
      <c r="K415" s="1"/>
      <c r="L415" s="1"/>
      <c r="O415" s="1"/>
      <c r="P415" s="1"/>
      <c r="R415" s="1"/>
      <c r="S415" s="1"/>
      <c r="X415" s="1"/>
      <c r="AB415" s="1"/>
      <c r="AC415" s="1"/>
    </row>
    <row r="416" customFormat="false" ht="12.8" hidden="false" customHeight="false" outlineLevel="0" collapsed="false">
      <c r="A416" s="3"/>
      <c r="B416" s="1"/>
      <c r="C416" s="1"/>
      <c r="D416" s="1"/>
      <c r="E416" s="1"/>
      <c r="F416" s="1"/>
      <c r="G416" s="1"/>
      <c r="H416" s="1"/>
      <c r="I416" s="1"/>
      <c r="K416" s="1"/>
      <c r="L416" s="1"/>
      <c r="O416" s="1"/>
      <c r="P416" s="1"/>
      <c r="R416" s="1"/>
      <c r="S416" s="1"/>
      <c r="X416" s="1"/>
      <c r="AB416" s="1"/>
      <c r="AC416" s="1"/>
    </row>
    <row r="417" customFormat="false" ht="12.8" hidden="false" customHeight="false" outlineLevel="0" collapsed="false">
      <c r="A417" s="3"/>
      <c r="B417" s="1"/>
      <c r="C417" s="1"/>
      <c r="D417" s="1"/>
      <c r="E417" s="1"/>
      <c r="F417" s="1"/>
      <c r="G417" s="1"/>
      <c r="H417" s="1"/>
      <c r="I417" s="1"/>
      <c r="K417" s="1"/>
      <c r="L417" s="1"/>
      <c r="O417" s="1"/>
      <c r="P417" s="1"/>
      <c r="R417" s="1"/>
      <c r="S417" s="1"/>
      <c r="X417" s="1"/>
      <c r="AB417" s="1"/>
      <c r="AC417" s="1"/>
    </row>
    <row r="418" customFormat="false" ht="12.8" hidden="false" customHeight="false" outlineLevel="0" collapsed="false">
      <c r="A418" s="3"/>
      <c r="B418" s="1"/>
      <c r="C418" s="1"/>
      <c r="D418" s="1"/>
      <c r="E418" s="1"/>
      <c r="F418" s="1"/>
      <c r="G418" s="1"/>
      <c r="H418" s="1"/>
      <c r="I418" s="1"/>
      <c r="K418" s="1"/>
      <c r="L418" s="1"/>
      <c r="O418" s="1"/>
      <c r="P418" s="1"/>
      <c r="R418" s="1"/>
      <c r="S418" s="1"/>
      <c r="X418" s="1"/>
      <c r="AB418" s="1"/>
      <c r="AC418" s="1"/>
    </row>
    <row r="419" customFormat="false" ht="12.8" hidden="false" customHeight="false" outlineLevel="0" collapsed="false">
      <c r="A419" s="3"/>
      <c r="B419" s="1"/>
      <c r="C419" s="1"/>
      <c r="D419" s="1"/>
      <c r="E419" s="1"/>
      <c r="F419" s="1"/>
      <c r="G419" s="1"/>
      <c r="H419" s="1"/>
      <c r="I419" s="1"/>
      <c r="K419" s="1"/>
      <c r="L419" s="1"/>
      <c r="O419" s="1"/>
      <c r="P419" s="1"/>
      <c r="R419" s="1"/>
      <c r="S419" s="1"/>
      <c r="X419" s="1"/>
      <c r="AB419" s="1"/>
      <c r="AC419" s="1"/>
    </row>
    <row r="420" customFormat="false" ht="12.8" hidden="false" customHeight="false" outlineLevel="0" collapsed="false">
      <c r="A420" s="3"/>
      <c r="B420" s="1"/>
      <c r="C420" s="1"/>
      <c r="D420" s="1"/>
      <c r="E420" s="1"/>
      <c r="F420" s="1"/>
      <c r="G420" s="1"/>
      <c r="H420" s="1"/>
      <c r="I420" s="1"/>
      <c r="K420" s="1"/>
      <c r="L420" s="1"/>
      <c r="O420" s="1"/>
      <c r="P420" s="1"/>
      <c r="R420" s="1"/>
      <c r="S420" s="1"/>
      <c r="X420" s="1"/>
      <c r="AB420" s="1"/>
      <c r="AC420" s="1"/>
    </row>
    <row r="421" customFormat="false" ht="12.8" hidden="false" customHeight="false" outlineLevel="0" collapsed="false">
      <c r="A421" s="3"/>
      <c r="B421" s="1"/>
      <c r="C421" s="1"/>
      <c r="D421" s="1"/>
      <c r="E421" s="1"/>
      <c r="F421" s="1"/>
      <c r="G421" s="1"/>
      <c r="H421" s="1"/>
      <c r="I421" s="1"/>
      <c r="K421" s="1"/>
      <c r="L421" s="1"/>
      <c r="O421" s="1"/>
      <c r="P421" s="1"/>
      <c r="R421" s="1"/>
      <c r="S421" s="1"/>
      <c r="X421" s="1"/>
      <c r="AB421" s="1"/>
      <c r="AC421" s="1"/>
    </row>
    <row r="422" customFormat="false" ht="12.8" hidden="false" customHeight="false" outlineLevel="0" collapsed="false">
      <c r="A422" s="3"/>
      <c r="B422" s="1"/>
      <c r="C422" s="1"/>
      <c r="D422" s="1"/>
      <c r="E422" s="1"/>
      <c r="F422" s="1"/>
      <c r="G422" s="1"/>
      <c r="H422" s="1"/>
      <c r="I422" s="1"/>
      <c r="K422" s="1"/>
      <c r="L422" s="1"/>
      <c r="O422" s="1"/>
      <c r="P422" s="1"/>
      <c r="R422" s="1"/>
      <c r="S422" s="1"/>
      <c r="X422" s="1"/>
      <c r="AB422" s="1"/>
      <c r="AC422" s="1"/>
    </row>
    <row r="423" customFormat="false" ht="12.8" hidden="false" customHeight="false" outlineLevel="0" collapsed="false">
      <c r="A423" s="3"/>
      <c r="B423" s="1"/>
      <c r="C423" s="1"/>
      <c r="D423" s="1"/>
      <c r="E423" s="1"/>
      <c r="F423" s="1"/>
      <c r="G423" s="1"/>
      <c r="H423" s="1"/>
      <c r="I423" s="1"/>
      <c r="K423" s="1"/>
      <c r="L423" s="1"/>
      <c r="O423" s="1"/>
      <c r="P423" s="1"/>
      <c r="R423" s="1"/>
      <c r="S423" s="1"/>
      <c r="X423" s="1"/>
      <c r="AB423" s="1"/>
      <c r="AC423" s="1"/>
    </row>
    <row r="424" customFormat="false" ht="12.8" hidden="false" customHeight="false" outlineLevel="0" collapsed="false">
      <c r="A424" s="3"/>
      <c r="B424" s="1"/>
      <c r="C424" s="1"/>
      <c r="D424" s="1"/>
      <c r="E424" s="1"/>
      <c r="F424" s="1"/>
      <c r="G424" s="1"/>
      <c r="H424" s="1"/>
      <c r="I424" s="1"/>
      <c r="K424" s="1"/>
      <c r="L424" s="1"/>
      <c r="O424" s="1"/>
      <c r="P424" s="1"/>
      <c r="R424" s="1"/>
      <c r="S424" s="1"/>
      <c r="X424" s="1"/>
      <c r="AB424" s="1"/>
      <c r="AC424" s="1"/>
    </row>
    <row r="425" customFormat="false" ht="12.8" hidden="false" customHeight="false" outlineLevel="0" collapsed="false">
      <c r="A425" s="3"/>
      <c r="B425" s="1"/>
      <c r="C425" s="1"/>
      <c r="D425" s="1"/>
      <c r="E425" s="1"/>
      <c r="F425" s="1"/>
      <c r="G425" s="1"/>
      <c r="H425" s="1"/>
      <c r="I425" s="1"/>
      <c r="K425" s="1"/>
      <c r="L425" s="1"/>
      <c r="O425" s="1"/>
      <c r="P425" s="1"/>
      <c r="R425" s="1"/>
      <c r="S425" s="1"/>
      <c r="X425" s="1"/>
      <c r="AB425" s="1"/>
      <c r="AC425" s="1"/>
    </row>
    <row r="426" customFormat="false" ht="12.8" hidden="false" customHeight="false" outlineLevel="0" collapsed="false">
      <c r="A426" s="3"/>
      <c r="B426" s="1"/>
      <c r="C426" s="1"/>
      <c r="D426" s="1"/>
      <c r="E426" s="1"/>
      <c r="F426" s="1"/>
      <c r="G426" s="1"/>
      <c r="H426" s="1"/>
      <c r="I426" s="1"/>
      <c r="K426" s="1"/>
      <c r="L426" s="1"/>
      <c r="O426" s="1"/>
      <c r="P426" s="1"/>
      <c r="R426" s="1"/>
      <c r="S426" s="1"/>
      <c r="X426" s="1"/>
      <c r="AB426" s="1"/>
      <c r="AC426" s="1"/>
    </row>
    <row r="427" customFormat="false" ht="12.8" hidden="false" customHeight="false" outlineLevel="0" collapsed="false">
      <c r="A427" s="3"/>
      <c r="B427" s="1"/>
      <c r="C427" s="1"/>
      <c r="D427" s="1"/>
      <c r="E427" s="1"/>
      <c r="F427" s="1"/>
      <c r="G427" s="1"/>
      <c r="H427" s="1"/>
      <c r="I427" s="1"/>
      <c r="K427" s="1"/>
      <c r="L427" s="1"/>
      <c r="O427" s="1"/>
      <c r="P427" s="1"/>
      <c r="R427" s="1"/>
      <c r="S427" s="1"/>
      <c r="X427" s="1"/>
      <c r="AB427" s="1"/>
      <c r="AC427" s="1"/>
    </row>
    <row r="428" customFormat="false" ht="12.8" hidden="false" customHeight="false" outlineLevel="0" collapsed="false">
      <c r="A428" s="3"/>
      <c r="B428" s="1"/>
      <c r="C428" s="1"/>
      <c r="D428" s="1"/>
      <c r="E428" s="1"/>
      <c r="F428" s="1"/>
      <c r="G428" s="1"/>
      <c r="H428" s="1"/>
      <c r="I428" s="1"/>
      <c r="K428" s="1"/>
      <c r="L428" s="1"/>
      <c r="O428" s="1"/>
      <c r="P428" s="1"/>
      <c r="R428" s="1"/>
      <c r="S428" s="1"/>
      <c r="X428" s="1"/>
      <c r="AB428" s="1"/>
      <c r="AC428" s="1"/>
    </row>
    <row r="429" customFormat="false" ht="12.8" hidden="false" customHeight="false" outlineLevel="0" collapsed="false">
      <c r="A429" s="3"/>
      <c r="B429" s="1"/>
      <c r="C429" s="1"/>
      <c r="D429" s="1"/>
      <c r="E429" s="1"/>
      <c r="F429" s="1"/>
      <c r="G429" s="1"/>
      <c r="H429" s="1"/>
      <c r="I429" s="1"/>
      <c r="K429" s="1"/>
      <c r="L429" s="1"/>
      <c r="O429" s="1"/>
      <c r="P429" s="1"/>
      <c r="R429" s="1"/>
      <c r="S429" s="1"/>
      <c r="X429" s="1"/>
      <c r="AB429" s="1"/>
      <c r="AC429" s="1"/>
    </row>
    <row r="430" customFormat="false" ht="12.8" hidden="false" customHeight="false" outlineLevel="0" collapsed="false">
      <c r="A430" s="3"/>
      <c r="B430" s="1"/>
      <c r="C430" s="1"/>
      <c r="D430" s="1"/>
      <c r="E430" s="1"/>
      <c r="F430" s="1"/>
      <c r="G430" s="1"/>
      <c r="H430" s="1"/>
      <c r="I430" s="1"/>
      <c r="K430" s="1"/>
      <c r="L430" s="1"/>
      <c r="O430" s="1"/>
      <c r="P430" s="1"/>
      <c r="R430" s="1"/>
      <c r="S430" s="1"/>
      <c r="X430" s="1"/>
      <c r="AB430" s="1"/>
      <c r="AC430" s="1"/>
    </row>
    <row r="431" customFormat="false" ht="12.8" hidden="false" customHeight="false" outlineLevel="0" collapsed="false">
      <c r="A431" s="3"/>
      <c r="B431" s="1"/>
      <c r="C431" s="1"/>
      <c r="D431" s="1"/>
      <c r="E431" s="1"/>
      <c r="F431" s="1"/>
      <c r="G431" s="1"/>
      <c r="H431" s="1"/>
      <c r="I431" s="1"/>
      <c r="K431" s="1"/>
      <c r="L431" s="1"/>
      <c r="O431" s="1"/>
      <c r="P431" s="1"/>
      <c r="R431" s="1"/>
      <c r="S431" s="1"/>
      <c r="X431" s="1"/>
      <c r="AB431" s="1"/>
      <c r="AC431" s="1"/>
    </row>
    <row r="432" customFormat="false" ht="12.8" hidden="false" customHeight="false" outlineLevel="0" collapsed="false">
      <c r="A432" s="3"/>
      <c r="B432" s="1"/>
      <c r="C432" s="1"/>
      <c r="D432" s="1"/>
      <c r="E432" s="1"/>
      <c r="F432" s="1"/>
      <c r="G432" s="1"/>
      <c r="H432" s="1"/>
      <c r="I432" s="1"/>
      <c r="K432" s="1"/>
      <c r="L432" s="1"/>
      <c r="O432" s="1"/>
      <c r="P432" s="1"/>
      <c r="R432" s="1"/>
      <c r="S432" s="1"/>
      <c r="X432" s="1"/>
      <c r="AB432" s="1"/>
      <c r="AC432" s="1"/>
    </row>
    <row r="433" customFormat="false" ht="12.8" hidden="false" customHeight="false" outlineLevel="0" collapsed="false">
      <c r="A433" s="3"/>
      <c r="B433" s="1"/>
      <c r="C433" s="1"/>
      <c r="D433" s="1"/>
      <c r="E433" s="1"/>
      <c r="F433" s="1"/>
      <c r="G433" s="1"/>
      <c r="H433" s="1"/>
      <c r="I433" s="1"/>
      <c r="K433" s="1"/>
      <c r="L433" s="1"/>
      <c r="O433" s="1"/>
      <c r="P433" s="1"/>
      <c r="R433" s="1"/>
      <c r="S433" s="1"/>
      <c r="X433" s="1"/>
      <c r="AB433" s="1"/>
      <c r="AC433" s="1"/>
    </row>
    <row r="434" customFormat="false" ht="12.8" hidden="false" customHeight="false" outlineLevel="0" collapsed="false">
      <c r="A434" s="3"/>
      <c r="B434" s="1"/>
      <c r="C434" s="1"/>
      <c r="D434" s="1"/>
      <c r="E434" s="1"/>
      <c r="F434" s="1"/>
      <c r="G434" s="1"/>
      <c r="H434" s="1"/>
      <c r="I434" s="1"/>
      <c r="K434" s="1"/>
      <c r="L434" s="1"/>
      <c r="O434" s="1"/>
      <c r="P434" s="1"/>
      <c r="R434" s="1"/>
      <c r="S434" s="1"/>
      <c r="X434" s="1"/>
      <c r="AB434" s="1"/>
      <c r="AC434" s="1"/>
    </row>
    <row r="435" customFormat="false" ht="12.8" hidden="false" customHeight="false" outlineLevel="0" collapsed="false">
      <c r="A435" s="3"/>
      <c r="B435" s="1"/>
      <c r="C435" s="1"/>
      <c r="D435" s="1"/>
      <c r="E435" s="1"/>
      <c r="F435" s="1"/>
      <c r="G435" s="1"/>
      <c r="H435" s="1"/>
      <c r="I435" s="1"/>
      <c r="K435" s="1"/>
      <c r="L435" s="1"/>
      <c r="O435" s="1"/>
      <c r="P435" s="1"/>
      <c r="R435" s="1"/>
      <c r="S435" s="1"/>
      <c r="X435" s="1"/>
      <c r="AB435" s="1"/>
      <c r="AC435" s="1"/>
    </row>
    <row r="436" customFormat="false" ht="12.8" hidden="false" customHeight="false" outlineLevel="0" collapsed="false">
      <c r="A436" s="3"/>
      <c r="B436" s="1"/>
      <c r="C436" s="1"/>
      <c r="D436" s="1"/>
      <c r="E436" s="1"/>
      <c r="F436" s="1"/>
      <c r="G436" s="1"/>
      <c r="H436" s="1"/>
      <c r="I436" s="1"/>
      <c r="K436" s="1"/>
      <c r="L436" s="1"/>
      <c r="O436" s="1"/>
      <c r="P436" s="1"/>
      <c r="R436" s="1"/>
      <c r="S436" s="1"/>
      <c r="X436" s="1"/>
      <c r="AB436" s="1"/>
      <c r="AC436" s="1"/>
    </row>
    <row r="437" customFormat="false" ht="12.8" hidden="false" customHeight="false" outlineLevel="0" collapsed="false">
      <c r="A437" s="3"/>
      <c r="B437" s="1"/>
      <c r="C437" s="1"/>
      <c r="D437" s="1"/>
      <c r="E437" s="1"/>
      <c r="F437" s="1"/>
      <c r="G437" s="1"/>
      <c r="H437" s="1"/>
      <c r="I437" s="1"/>
      <c r="K437" s="1"/>
      <c r="L437" s="1"/>
      <c r="O437" s="1"/>
      <c r="P437" s="1"/>
      <c r="R437" s="1"/>
      <c r="S437" s="1"/>
      <c r="X437" s="1"/>
      <c r="AB437" s="1"/>
      <c r="AC437" s="1"/>
    </row>
    <row r="438" customFormat="false" ht="12.8" hidden="false" customHeight="false" outlineLevel="0" collapsed="false">
      <c r="A438" s="3"/>
      <c r="B438" s="1"/>
      <c r="C438" s="1"/>
      <c r="D438" s="1"/>
      <c r="E438" s="1"/>
      <c r="F438" s="1"/>
      <c r="G438" s="1"/>
      <c r="H438" s="1"/>
      <c r="I438" s="1"/>
      <c r="K438" s="1"/>
      <c r="L438" s="1"/>
      <c r="O438" s="1"/>
      <c r="P438" s="1"/>
      <c r="R438" s="1"/>
      <c r="S438" s="1"/>
      <c r="X438" s="1"/>
      <c r="AB438" s="1"/>
      <c r="AC438" s="1"/>
    </row>
    <row r="439" customFormat="false" ht="12.8" hidden="false" customHeight="false" outlineLevel="0" collapsed="false">
      <c r="A439" s="3"/>
      <c r="B439" s="1"/>
      <c r="C439" s="1"/>
      <c r="D439" s="1"/>
      <c r="E439" s="1"/>
      <c r="F439" s="1"/>
      <c r="G439" s="1"/>
      <c r="H439" s="1"/>
      <c r="I439" s="1"/>
      <c r="K439" s="1"/>
      <c r="L439" s="1"/>
      <c r="O439" s="1"/>
      <c r="P439" s="1"/>
      <c r="R439" s="1"/>
      <c r="S439" s="1"/>
      <c r="X439" s="1"/>
      <c r="AB439" s="1"/>
      <c r="AC439" s="1"/>
    </row>
    <row r="440" customFormat="false" ht="12.8" hidden="false" customHeight="false" outlineLevel="0" collapsed="false">
      <c r="A440" s="3"/>
      <c r="B440" s="1"/>
      <c r="C440" s="1"/>
      <c r="D440" s="1"/>
      <c r="E440" s="1"/>
      <c r="F440" s="1"/>
      <c r="G440" s="1"/>
      <c r="H440" s="1"/>
      <c r="I440" s="1"/>
      <c r="K440" s="1"/>
      <c r="L440" s="1"/>
      <c r="O440" s="1"/>
      <c r="P440" s="1"/>
      <c r="R440" s="1"/>
      <c r="S440" s="1"/>
      <c r="X440" s="1"/>
      <c r="AB440" s="1"/>
      <c r="AC440" s="1"/>
    </row>
    <row r="441" customFormat="false" ht="12.8" hidden="false" customHeight="false" outlineLevel="0" collapsed="false">
      <c r="A441" s="3"/>
      <c r="B441" s="1"/>
      <c r="C441" s="1"/>
      <c r="D441" s="1"/>
      <c r="E441" s="1"/>
      <c r="F441" s="1"/>
      <c r="G441" s="1"/>
      <c r="H441" s="1"/>
      <c r="I441" s="1"/>
      <c r="K441" s="1"/>
      <c r="L441" s="1"/>
      <c r="O441" s="1"/>
      <c r="P441" s="1"/>
      <c r="R441" s="1"/>
      <c r="S441" s="1"/>
      <c r="X441" s="1"/>
      <c r="AB441" s="1"/>
      <c r="AC441" s="1"/>
    </row>
    <row r="442" customFormat="false" ht="12.8" hidden="false" customHeight="false" outlineLevel="0" collapsed="false">
      <c r="A442" s="3"/>
      <c r="B442" s="1"/>
      <c r="C442" s="1"/>
      <c r="D442" s="1"/>
      <c r="E442" s="1"/>
      <c r="F442" s="1"/>
      <c r="G442" s="1"/>
      <c r="H442" s="1"/>
      <c r="I442" s="1"/>
      <c r="K442" s="1"/>
      <c r="L442" s="1"/>
      <c r="O442" s="1"/>
      <c r="P442" s="1"/>
      <c r="R442" s="1"/>
      <c r="S442" s="1"/>
      <c r="X442" s="1"/>
      <c r="AB442" s="1"/>
      <c r="AC442" s="1"/>
    </row>
    <row r="443" customFormat="false" ht="12.8" hidden="false" customHeight="false" outlineLevel="0" collapsed="false">
      <c r="A443" s="3"/>
      <c r="B443" s="1"/>
      <c r="C443" s="1"/>
      <c r="D443" s="1"/>
      <c r="E443" s="1"/>
      <c r="F443" s="1"/>
      <c r="G443" s="1"/>
      <c r="H443" s="1"/>
      <c r="I443" s="1"/>
      <c r="K443" s="1"/>
      <c r="L443" s="1"/>
      <c r="O443" s="1"/>
      <c r="P443" s="1"/>
      <c r="R443" s="1"/>
      <c r="S443" s="1"/>
      <c r="X443" s="1"/>
      <c r="AB443" s="1"/>
      <c r="AC443" s="1"/>
    </row>
    <row r="444" customFormat="false" ht="12.8" hidden="false" customHeight="false" outlineLevel="0" collapsed="false">
      <c r="A444" s="3"/>
      <c r="B444" s="1"/>
      <c r="C444" s="1"/>
      <c r="D444" s="1"/>
      <c r="E444" s="1"/>
      <c r="G444" s="1"/>
      <c r="H444" s="1"/>
      <c r="I444" s="1"/>
      <c r="K444" s="1"/>
      <c r="L444" s="1"/>
      <c r="O444" s="1"/>
      <c r="P444" s="1"/>
      <c r="R444" s="1"/>
      <c r="S444" s="1"/>
      <c r="X444" s="1"/>
      <c r="Y444" s="1"/>
      <c r="AB444" s="1"/>
      <c r="AC444" s="1"/>
    </row>
    <row r="445" customFormat="false" ht="12.8" hidden="false" customHeight="false" outlineLevel="0" collapsed="false">
      <c r="A445" s="3"/>
      <c r="B445" s="1"/>
      <c r="C445" s="1"/>
      <c r="D445" s="1"/>
      <c r="E445" s="1"/>
      <c r="G445" s="1"/>
      <c r="H445" s="1"/>
      <c r="I445" s="1"/>
      <c r="K445" s="1"/>
      <c r="L445" s="1"/>
      <c r="N445" s="1"/>
      <c r="O445" s="1"/>
      <c r="P445" s="1"/>
      <c r="R445" s="1"/>
      <c r="S445" s="1"/>
      <c r="X445" s="1"/>
      <c r="Y445" s="1"/>
      <c r="AB445" s="1"/>
      <c r="AC445" s="1"/>
    </row>
    <row r="446" customFormat="false" ht="12.8" hidden="false" customHeight="false" outlineLevel="0" collapsed="false">
      <c r="A446" s="3"/>
      <c r="B446" s="1"/>
      <c r="C446" s="1"/>
      <c r="D446" s="1"/>
      <c r="E446" s="1"/>
      <c r="G446" s="1"/>
      <c r="H446" s="1"/>
      <c r="I446" s="1"/>
      <c r="K446" s="1"/>
      <c r="L446" s="1"/>
      <c r="O446" s="1"/>
      <c r="P446" s="1"/>
      <c r="R446" s="1"/>
      <c r="S446" s="1"/>
      <c r="X446" s="1"/>
      <c r="Y446" s="1"/>
      <c r="AB446" s="1"/>
      <c r="AC446" s="1"/>
    </row>
    <row r="447" customFormat="false" ht="12.8" hidden="false" customHeight="false" outlineLevel="0" collapsed="false">
      <c r="A447" s="3"/>
      <c r="B447" s="1"/>
      <c r="C447" s="1"/>
      <c r="D447" s="1"/>
      <c r="E447" s="1"/>
      <c r="G447" s="1"/>
      <c r="H447" s="1"/>
      <c r="I447" s="1"/>
      <c r="K447" s="1"/>
      <c r="L447" s="1"/>
      <c r="O447" s="1"/>
      <c r="P447" s="1"/>
      <c r="R447" s="1"/>
      <c r="S447" s="1"/>
      <c r="X447" s="1"/>
      <c r="Y447" s="1"/>
      <c r="AB447" s="1"/>
      <c r="AC447" s="1"/>
    </row>
    <row r="448" customFormat="false" ht="12.8" hidden="false" customHeight="false" outlineLevel="0" collapsed="false">
      <c r="A448" s="3"/>
      <c r="B448" s="1"/>
      <c r="C448" s="1"/>
      <c r="D448" s="1"/>
      <c r="E448" s="1"/>
      <c r="G448" s="1"/>
      <c r="H448" s="1"/>
      <c r="I448" s="1"/>
      <c r="K448" s="1"/>
      <c r="L448" s="1"/>
      <c r="O448" s="1"/>
      <c r="P448" s="1"/>
      <c r="R448" s="1"/>
      <c r="S448" s="1"/>
      <c r="X448" s="1"/>
      <c r="Y448" s="1"/>
      <c r="AB448" s="1"/>
      <c r="AC448" s="1"/>
    </row>
    <row r="449" customFormat="false" ht="12.8" hidden="false" customHeight="false" outlineLevel="0" collapsed="false">
      <c r="A449" s="3"/>
      <c r="B449" s="1"/>
      <c r="C449" s="1"/>
      <c r="D449" s="1"/>
      <c r="E449" s="1"/>
      <c r="G449" s="1"/>
      <c r="H449" s="1"/>
      <c r="I449" s="1"/>
      <c r="K449" s="1"/>
      <c r="L449" s="1"/>
      <c r="O449" s="1"/>
      <c r="P449" s="1"/>
      <c r="R449" s="1"/>
      <c r="S449" s="1"/>
      <c r="X449" s="1"/>
      <c r="Y449" s="1"/>
      <c r="AB449" s="1"/>
      <c r="AC449" s="1"/>
    </row>
    <row r="450" customFormat="false" ht="12.8" hidden="false" customHeight="false" outlineLevel="0" collapsed="false">
      <c r="A450" s="3"/>
      <c r="B450" s="1"/>
      <c r="C450" s="1"/>
      <c r="D450" s="1"/>
      <c r="E450" s="1"/>
      <c r="G450" s="1"/>
      <c r="H450" s="1"/>
      <c r="I450" s="1"/>
      <c r="K450" s="1"/>
      <c r="L450" s="1"/>
      <c r="N450" s="1"/>
      <c r="O450" s="1"/>
      <c r="P450" s="1"/>
      <c r="R450" s="1"/>
      <c r="S450" s="1"/>
      <c r="X450" s="1"/>
      <c r="Y450" s="1"/>
      <c r="AB450" s="1"/>
      <c r="AC450" s="1"/>
    </row>
    <row r="451" customFormat="false" ht="12.8" hidden="false" customHeight="false" outlineLevel="0" collapsed="false">
      <c r="A451" s="3"/>
      <c r="B451" s="1"/>
      <c r="C451" s="1"/>
      <c r="D451" s="1"/>
      <c r="E451" s="1"/>
      <c r="G451" s="1"/>
      <c r="H451" s="1"/>
      <c r="I451" s="1"/>
      <c r="K451" s="1"/>
      <c r="L451" s="1"/>
      <c r="N451" s="1"/>
      <c r="O451" s="1"/>
      <c r="P451" s="1"/>
      <c r="R451" s="1"/>
      <c r="S451" s="1"/>
      <c r="X451" s="1"/>
      <c r="Y451" s="1"/>
      <c r="AB451" s="1"/>
      <c r="AC451" s="1"/>
    </row>
    <row r="452" customFormat="false" ht="12.8" hidden="false" customHeight="false" outlineLevel="0" collapsed="false">
      <c r="A452" s="3"/>
      <c r="B452" s="1"/>
      <c r="C452" s="1"/>
      <c r="D452" s="1"/>
      <c r="E452" s="1"/>
      <c r="G452" s="1"/>
      <c r="H452" s="1"/>
      <c r="I452" s="1"/>
      <c r="K452" s="1"/>
      <c r="L452" s="1"/>
      <c r="N452" s="1"/>
      <c r="O452" s="1"/>
      <c r="P452" s="1"/>
      <c r="R452" s="1"/>
      <c r="S452" s="1"/>
      <c r="X452" s="1"/>
      <c r="Y452" s="1"/>
      <c r="AB452" s="1"/>
      <c r="AC452" s="1"/>
    </row>
    <row r="453" customFormat="false" ht="12.8" hidden="false" customHeight="false" outlineLevel="0" collapsed="false">
      <c r="A453" s="3"/>
      <c r="B453" s="1"/>
      <c r="C453" s="1"/>
      <c r="D453" s="1"/>
      <c r="E453" s="1"/>
      <c r="G453" s="1"/>
      <c r="H453" s="1"/>
      <c r="I453" s="1"/>
      <c r="K453" s="1"/>
      <c r="L453" s="1"/>
      <c r="N453" s="1"/>
      <c r="O453" s="1"/>
      <c r="P453" s="1"/>
      <c r="R453" s="1"/>
      <c r="S453" s="1"/>
      <c r="X453" s="1"/>
      <c r="Y453" s="1"/>
      <c r="AB453" s="1"/>
      <c r="AC453" s="1"/>
    </row>
    <row r="454" customFormat="false" ht="12.8" hidden="false" customHeight="false" outlineLevel="0" collapsed="false">
      <c r="A454" s="3"/>
      <c r="B454" s="1"/>
      <c r="C454" s="1"/>
      <c r="D454" s="1"/>
      <c r="E454" s="1"/>
      <c r="G454" s="1"/>
      <c r="H454" s="1"/>
      <c r="I454" s="1"/>
      <c r="K454" s="1"/>
      <c r="L454" s="1"/>
      <c r="N454" s="1"/>
      <c r="O454" s="1"/>
      <c r="P454" s="1"/>
      <c r="R454" s="1"/>
      <c r="S454" s="1"/>
      <c r="X454" s="1"/>
      <c r="Y454" s="1"/>
      <c r="AB454" s="1"/>
      <c r="AC454" s="1"/>
    </row>
    <row r="455" customFormat="false" ht="12.8" hidden="false" customHeight="false" outlineLevel="0" collapsed="false">
      <c r="A455" s="3"/>
      <c r="B455" s="1"/>
      <c r="C455" s="1"/>
      <c r="D455" s="1"/>
      <c r="E455" s="1"/>
      <c r="G455" s="1"/>
      <c r="H455" s="1"/>
      <c r="I455" s="1"/>
      <c r="K455" s="1"/>
      <c r="L455" s="1"/>
      <c r="O455" s="1"/>
      <c r="P455" s="1"/>
      <c r="R455" s="1"/>
      <c r="S455" s="1"/>
      <c r="X455" s="1"/>
      <c r="Y455" s="1"/>
      <c r="AB455" s="1"/>
      <c r="AC455" s="1"/>
    </row>
    <row r="456" customFormat="false" ht="12.8" hidden="false" customHeight="false" outlineLevel="0" collapsed="false">
      <c r="A456" s="3"/>
      <c r="B456" s="1"/>
      <c r="C456" s="1"/>
      <c r="D456" s="1"/>
      <c r="E456" s="1"/>
      <c r="G456" s="1"/>
      <c r="H456" s="1"/>
      <c r="I456" s="1"/>
      <c r="K456" s="1"/>
      <c r="L456" s="1"/>
      <c r="O456" s="1"/>
      <c r="P456" s="1"/>
      <c r="R456" s="1"/>
      <c r="S456" s="1"/>
      <c r="X456" s="1"/>
      <c r="Y456" s="1"/>
      <c r="AB456" s="1"/>
      <c r="AC456" s="1"/>
    </row>
    <row r="457" customFormat="false" ht="12.8" hidden="false" customHeight="false" outlineLevel="0" collapsed="false">
      <c r="A457" s="3"/>
      <c r="B457" s="1"/>
      <c r="C457" s="1"/>
      <c r="D457" s="1"/>
      <c r="E457" s="1"/>
      <c r="F457" s="1"/>
      <c r="G457" s="1"/>
      <c r="H457" s="1"/>
      <c r="I457" s="1"/>
      <c r="K457" s="1"/>
      <c r="L457" s="1"/>
      <c r="O457" s="1"/>
      <c r="P457" s="1"/>
      <c r="R457" s="1"/>
      <c r="S457" s="1"/>
      <c r="X457" s="1"/>
      <c r="AC457" s="1"/>
    </row>
    <row r="458" customFormat="false" ht="12.8" hidden="false" customHeight="false" outlineLevel="0" collapsed="false">
      <c r="A458" s="3"/>
      <c r="B458" s="1"/>
      <c r="C458" s="1"/>
      <c r="D458" s="1"/>
      <c r="E458" s="1"/>
      <c r="F458" s="1"/>
      <c r="G458" s="1"/>
      <c r="H458" s="1"/>
      <c r="I458" s="1"/>
      <c r="K458" s="1"/>
      <c r="L458" s="1"/>
      <c r="O458" s="1"/>
      <c r="P458" s="1"/>
      <c r="R458" s="1"/>
      <c r="S458" s="1"/>
      <c r="X458" s="1"/>
      <c r="AC458" s="1"/>
    </row>
    <row r="459" customFormat="false" ht="12.8" hidden="false" customHeight="false" outlineLevel="0" collapsed="false">
      <c r="A459" s="3"/>
      <c r="B459" s="1"/>
      <c r="C459" s="1"/>
      <c r="D459" s="1"/>
      <c r="E459" s="1"/>
      <c r="F459" s="1"/>
      <c r="G459" s="1"/>
      <c r="H459" s="1"/>
      <c r="I459" s="1"/>
      <c r="K459" s="1"/>
      <c r="L459" s="1"/>
      <c r="O459" s="1"/>
      <c r="P459" s="1"/>
      <c r="R459" s="1"/>
      <c r="S459" s="1"/>
      <c r="X459" s="1"/>
      <c r="AC459" s="1"/>
    </row>
    <row r="460" customFormat="false" ht="12.8" hidden="false" customHeight="false" outlineLevel="0" collapsed="false">
      <c r="A460" s="3"/>
      <c r="B460" s="1"/>
      <c r="C460" s="1"/>
      <c r="D460" s="1"/>
      <c r="E460" s="1"/>
      <c r="F460" s="1"/>
      <c r="G460" s="1"/>
      <c r="H460" s="1"/>
      <c r="I460" s="1"/>
      <c r="K460" s="1"/>
      <c r="L460" s="1"/>
      <c r="O460" s="1"/>
      <c r="P460" s="1"/>
      <c r="R460" s="1"/>
      <c r="S460" s="1"/>
      <c r="X460" s="1"/>
      <c r="AC460" s="1"/>
    </row>
    <row r="461" customFormat="false" ht="12.8" hidden="false" customHeight="false" outlineLevel="0" collapsed="false">
      <c r="A461" s="3"/>
      <c r="B461" s="1"/>
      <c r="C461" s="1"/>
      <c r="D461" s="1"/>
      <c r="E461" s="1"/>
      <c r="F461" s="1"/>
      <c r="G461" s="1"/>
      <c r="H461" s="1"/>
      <c r="I461" s="1"/>
      <c r="K461" s="1"/>
      <c r="L461" s="1"/>
      <c r="O461" s="1"/>
      <c r="P461" s="1"/>
      <c r="R461" s="1"/>
      <c r="S461" s="1"/>
      <c r="X461" s="1"/>
      <c r="AC461" s="1"/>
    </row>
    <row r="462" customFormat="false" ht="12.8" hidden="false" customHeight="false" outlineLevel="0" collapsed="false">
      <c r="A462" s="3"/>
      <c r="B462" s="1"/>
      <c r="C462" s="1"/>
      <c r="D462" s="1"/>
      <c r="E462" s="1"/>
      <c r="F462" s="1"/>
      <c r="G462" s="1"/>
      <c r="H462" s="1"/>
      <c r="I462" s="1"/>
      <c r="K462" s="1"/>
      <c r="L462" s="1"/>
      <c r="O462" s="1"/>
      <c r="P462" s="1"/>
      <c r="R462" s="1"/>
      <c r="S462" s="1"/>
      <c r="X462" s="1"/>
      <c r="AC462" s="1"/>
    </row>
    <row r="463" customFormat="false" ht="12.8" hidden="false" customHeight="false" outlineLevel="0" collapsed="false">
      <c r="A463" s="3"/>
      <c r="B463" s="1"/>
      <c r="C463" s="1"/>
      <c r="D463" s="1"/>
      <c r="E463" s="1"/>
      <c r="F463" s="1"/>
      <c r="G463" s="1"/>
      <c r="H463" s="1"/>
      <c r="I463" s="1"/>
      <c r="K463" s="1"/>
      <c r="L463" s="1"/>
      <c r="O463" s="1"/>
      <c r="P463" s="1"/>
      <c r="R463" s="1"/>
      <c r="S463" s="1"/>
      <c r="X463" s="1"/>
      <c r="AC463" s="1"/>
    </row>
    <row r="464" customFormat="false" ht="12.8" hidden="false" customHeight="false" outlineLevel="0" collapsed="false">
      <c r="A464" s="3"/>
      <c r="B464" s="1"/>
      <c r="C464" s="1"/>
      <c r="D464" s="1"/>
      <c r="E464" s="1"/>
      <c r="F464" s="1"/>
      <c r="G464" s="1"/>
      <c r="H464" s="1"/>
      <c r="I464" s="1"/>
      <c r="K464" s="1"/>
      <c r="L464" s="1"/>
      <c r="O464" s="1"/>
      <c r="P464" s="1"/>
      <c r="R464" s="1"/>
      <c r="S464" s="1"/>
      <c r="X464" s="1"/>
      <c r="AC464" s="1"/>
    </row>
    <row r="465" customFormat="false" ht="12.8" hidden="false" customHeight="false" outlineLevel="0" collapsed="false">
      <c r="A465" s="3"/>
      <c r="B465" s="1"/>
      <c r="C465" s="1"/>
      <c r="D465" s="1"/>
      <c r="E465" s="1"/>
      <c r="F465" s="1"/>
      <c r="G465" s="1"/>
      <c r="H465" s="1"/>
      <c r="I465" s="1"/>
      <c r="K465" s="1"/>
      <c r="L465" s="1"/>
      <c r="O465" s="1"/>
      <c r="P465" s="1"/>
      <c r="R465" s="1"/>
      <c r="S465" s="1"/>
      <c r="X465" s="1"/>
      <c r="AC465" s="1"/>
    </row>
    <row r="466" customFormat="false" ht="12.8" hidden="false" customHeight="false" outlineLevel="0" collapsed="false">
      <c r="A466" s="3"/>
      <c r="B466" s="1"/>
      <c r="C466" s="1"/>
      <c r="D466" s="1"/>
      <c r="E466" s="1"/>
      <c r="F466" s="1"/>
      <c r="G466" s="1"/>
      <c r="H466" s="1"/>
      <c r="I466" s="1"/>
      <c r="K466" s="1"/>
      <c r="L466" s="1"/>
      <c r="O466" s="1"/>
      <c r="P466" s="1"/>
      <c r="R466" s="1"/>
      <c r="S466" s="1"/>
      <c r="X466" s="1"/>
      <c r="AC466" s="1"/>
    </row>
    <row r="467" customFormat="false" ht="12.8" hidden="false" customHeight="false" outlineLevel="0" collapsed="false">
      <c r="A467" s="3"/>
      <c r="B467" s="1"/>
      <c r="C467" s="1"/>
      <c r="D467" s="1"/>
      <c r="E467" s="1"/>
      <c r="F467" s="1"/>
      <c r="G467" s="1"/>
      <c r="H467" s="1"/>
      <c r="I467" s="1"/>
      <c r="K467" s="1"/>
      <c r="L467" s="1"/>
      <c r="O467" s="1"/>
      <c r="P467" s="1"/>
      <c r="R467" s="1"/>
      <c r="S467" s="1"/>
      <c r="X467" s="1"/>
      <c r="AC467" s="1"/>
    </row>
    <row r="468" customFormat="false" ht="12.8" hidden="false" customHeight="false" outlineLevel="0" collapsed="false">
      <c r="A468" s="3"/>
      <c r="B468" s="1"/>
      <c r="C468" s="1"/>
      <c r="D468" s="1"/>
      <c r="E468" s="1"/>
      <c r="F468" s="1"/>
      <c r="G468" s="1"/>
      <c r="H468" s="1"/>
      <c r="I468" s="1"/>
      <c r="K468" s="1"/>
      <c r="L468" s="1"/>
      <c r="O468" s="1"/>
      <c r="P468" s="1"/>
      <c r="R468" s="1"/>
      <c r="S468" s="1"/>
      <c r="X468" s="1"/>
      <c r="AC468" s="1"/>
    </row>
    <row r="469" customFormat="false" ht="12.8" hidden="false" customHeight="false" outlineLevel="0" collapsed="false">
      <c r="A469" s="3"/>
      <c r="B469" s="1"/>
      <c r="C469" s="1"/>
      <c r="D469" s="1"/>
      <c r="E469" s="1"/>
      <c r="F469" s="1"/>
      <c r="G469" s="1"/>
      <c r="H469" s="1"/>
      <c r="I469" s="1"/>
      <c r="K469" s="1"/>
      <c r="L469" s="1"/>
      <c r="O469" s="1"/>
      <c r="P469" s="1"/>
      <c r="R469" s="1"/>
      <c r="S469" s="1"/>
      <c r="X469" s="1"/>
      <c r="AC469" s="1"/>
    </row>
    <row r="470" customFormat="false" ht="12.8" hidden="false" customHeight="false" outlineLevel="0" collapsed="false">
      <c r="A470" s="3"/>
      <c r="B470" s="1"/>
      <c r="C470" s="1"/>
      <c r="D470" s="1"/>
      <c r="E470" s="1"/>
      <c r="F470" s="1"/>
      <c r="G470" s="1"/>
      <c r="H470" s="1"/>
      <c r="I470" s="1"/>
      <c r="K470" s="1"/>
      <c r="L470" s="1"/>
      <c r="O470" s="1"/>
      <c r="P470" s="1"/>
      <c r="R470" s="1"/>
      <c r="S470" s="1"/>
      <c r="X470" s="1"/>
      <c r="AC470" s="1"/>
    </row>
    <row r="471" customFormat="false" ht="12.8" hidden="false" customHeight="false" outlineLevel="0" collapsed="false">
      <c r="A471" s="3"/>
      <c r="B471" s="1"/>
      <c r="C471" s="1"/>
      <c r="D471" s="1"/>
      <c r="E471" s="1"/>
      <c r="F471" s="1"/>
      <c r="G471" s="1"/>
      <c r="H471" s="1"/>
      <c r="I471" s="1"/>
      <c r="K471" s="1"/>
      <c r="L471" s="1"/>
      <c r="O471" s="1"/>
      <c r="P471" s="1"/>
      <c r="R471" s="1"/>
      <c r="S471" s="1"/>
      <c r="X471" s="1"/>
      <c r="AC471" s="1"/>
    </row>
    <row r="472" customFormat="false" ht="12.8" hidden="false" customHeight="false" outlineLevel="0" collapsed="false">
      <c r="A472" s="3"/>
      <c r="B472" s="1"/>
      <c r="C472" s="1"/>
      <c r="D472" s="1"/>
      <c r="E472" s="1"/>
      <c r="F472" s="1"/>
      <c r="G472" s="1"/>
      <c r="H472" s="1"/>
      <c r="I472" s="1"/>
      <c r="K472" s="1"/>
      <c r="L472" s="1"/>
      <c r="O472" s="1"/>
      <c r="P472" s="1"/>
      <c r="R472" s="1"/>
      <c r="S472" s="1"/>
      <c r="X472" s="1"/>
      <c r="AC472" s="1"/>
    </row>
    <row r="473" customFormat="false" ht="12.8" hidden="false" customHeight="false" outlineLevel="0" collapsed="false">
      <c r="A473" s="3"/>
      <c r="B473" s="1"/>
      <c r="C473" s="1"/>
      <c r="D473" s="1"/>
      <c r="E473" s="1"/>
      <c r="F473" s="1"/>
      <c r="G473" s="1"/>
      <c r="H473" s="1"/>
      <c r="I473" s="1"/>
      <c r="K473" s="1"/>
      <c r="L473" s="1"/>
      <c r="O473" s="1"/>
      <c r="P473" s="1"/>
      <c r="R473" s="1"/>
      <c r="S473" s="1"/>
      <c r="X473" s="1"/>
      <c r="AC473" s="1"/>
    </row>
    <row r="474" customFormat="false" ht="12.8" hidden="false" customHeight="false" outlineLevel="0" collapsed="false">
      <c r="A474" s="3"/>
      <c r="B474" s="1"/>
      <c r="C474" s="1"/>
      <c r="D474" s="1"/>
      <c r="E474" s="1"/>
      <c r="F474" s="1"/>
      <c r="G474" s="1"/>
      <c r="H474" s="1"/>
      <c r="I474" s="1"/>
      <c r="K474" s="1"/>
      <c r="L474" s="1"/>
      <c r="O474" s="1"/>
      <c r="P474" s="1"/>
      <c r="R474" s="1"/>
      <c r="S474" s="1"/>
      <c r="X474" s="1"/>
      <c r="AC474" s="1"/>
    </row>
    <row r="475" customFormat="false" ht="12.8" hidden="false" customHeight="false" outlineLevel="0" collapsed="false">
      <c r="A475" s="3"/>
      <c r="B475" s="1"/>
      <c r="C475" s="1"/>
      <c r="D475" s="1"/>
      <c r="E475" s="1"/>
      <c r="F475" s="1"/>
      <c r="G475" s="1"/>
      <c r="H475" s="1"/>
      <c r="I475" s="1"/>
      <c r="K475" s="1"/>
      <c r="L475" s="1"/>
      <c r="O475" s="1"/>
      <c r="P475" s="1"/>
      <c r="R475" s="1"/>
      <c r="S475" s="1"/>
      <c r="X475" s="1"/>
      <c r="AC475" s="1"/>
    </row>
    <row r="476" customFormat="false" ht="12.8" hidden="false" customHeight="false" outlineLevel="0" collapsed="false">
      <c r="A476" s="3"/>
      <c r="B476" s="1"/>
      <c r="C476" s="1"/>
      <c r="D476" s="1"/>
      <c r="E476" s="1"/>
      <c r="F476" s="1"/>
      <c r="G476" s="1"/>
      <c r="H476" s="1"/>
      <c r="I476" s="1"/>
      <c r="K476" s="1"/>
      <c r="L476" s="1"/>
      <c r="O476" s="1"/>
      <c r="P476" s="1"/>
      <c r="R476" s="1"/>
      <c r="S476" s="1"/>
      <c r="X476" s="1"/>
      <c r="AC476" s="1"/>
    </row>
    <row r="477" customFormat="false" ht="12.8" hidden="false" customHeight="false" outlineLevel="0" collapsed="false">
      <c r="A477" s="3"/>
      <c r="B477" s="1"/>
      <c r="C477" s="1"/>
      <c r="D477" s="1"/>
      <c r="E477" s="1"/>
      <c r="F477" s="1"/>
      <c r="G477" s="1"/>
      <c r="H477" s="1"/>
      <c r="I477" s="1"/>
      <c r="K477" s="1"/>
      <c r="L477" s="1"/>
      <c r="O477" s="1"/>
      <c r="P477" s="1"/>
      <c r="R477" s="1"/>
      <c r="S477" s="1"/>
      <c r="X477" s="1"/>
      <c r="AC477" s="1"/>
    </row>
    <row r="478" customFormat="false" ht="12.8" hidden="false" customHeight="false" outlineLevel="0" collapsed="false">
      <c r="A478" s="3"/>
      <c r="B478" s="1"/>
      <c r="C478" s="1"/>
      <c r="D478" s="1"/>
      <c r="E478" s="1"/>
      <c r="F478" s="1"/>
      <c r="G478" s="1"/>
      <c r="H478" s="1"/>
      <c r="I478" s="1"/>
      <c r="K478" s="1"/>
      <c r="L478" s="1"/>
      <c r="O478" s="1"/>
      <c r="P478" s="1"/>
      <c r="R478" s="1"/>
      <c r="S478" s="1"/>
      <c r="X478" s="1"/>
      <c r="AC478" s="1"/>
    </row>
    <row r="479" customFormat="false" ht="12.8" hidden="false" customHeight="false" outlineLevel="0" collapsed="false">
      <c r="A479" s="3"/>
      <c r="B479" s="1"/>
      <c r="C479" s="1"/>
      <c r="D479" s="1"/>
      <c r="E479" s="1"/>
      <c r="F479" s="1"/>
      <c r="G479" s="1"/>
      <c r="H479" s="1"/>
      <c r="I479" s="1"/>
      <c r="K479" s="1"/>
      <c r="L479" s="1"/>
      <c r="O479" s="1"/>
      <c r="P479" s="1"/>
      <c r="R479" s="1"/>
      <c r="S479" s="1"/>
      <c r="X479" s="1"/>
      <c r="AC479" s="1"/>
    </row>
    <row r="480" customFormat="false" ht="12.8" hidden="false" customHeight="false" outlineLevel="0" collapsed="false">
      <c r="A480" s="3"/>
      <c r="B480" s="1"/>
      <c r="C480" s="1"/>
      <c r="D480" s="1"/>
      <c r="E480" s="1"/>
      <c r="F480" s="1"/>
      <c r="G480" s="1"/>
      <c r="H480" s="1"/>
      <c r="I480" s="1"/>
      <c r="K480" s="1"/>
      <c r="L480" s="1"/>
      <c r="O480" s="1"/>
      <c r="P480" s="1"/>
      <c r="R480" s="1"/>
      <c r="S480" s="1"/>
      <c r="X480" s="1"/>
      <c r="AC480" s="1"/>
    </row>
    <row r="481" customFormat="false" ht="12.8" hidden="false" customHeight="false" outlineLevel="0" collapsed="false">
      <c r="A481" s="3"/>
      <c r="B481" s="1"/>
      <c r="C481" s="1"/>
      <c r="D481" s="1"/>
      <c r="E481" s="1"/>
      <c r="F481" s="1"/>
      <c r="G481" s="1"/>
      <c r="H481" s="1"/>
      <c r="I481" s="1"/>
      <c r="K481" s="1"/>
      <c r="L481" s="1"/>
      <c r="O481" s="1"/>
      <c r="P481" s="1"/>
      <c r="R481" s="1"/>
      <c r="S481" s="1"/>
      <c r="X481" s="1"/>
      <c r="AC481" s="1"/>
    </row>
    <row r="482" customFormat="false" ht="12.8" hidden="false" customHeight="false" outlineLevel="0" collapsed="false">
      <c r="A482" s="3"/>
      <c r="B482" s="1"/>
      <c r="C482" s="1"/>
      <c r="D482" s="1"/>
      <c r="E482" s="1"/>
      <c r="F482" s="1"/>
      <c r="G482" s="1"/>
      <c r="H482" s="1"/>
      <c r="I482" s="1"/>
      <c r="K482" s="1"/>
      <c r="L482" s="1"/>
      <c r="O482" s="1"/>
      <c r="P482" s="1"/>
      <c r="R482" s="1"/>
      <c r="S482" s="1"/>
      <c r="X482" s="1"/>
      <c r="AC482" s="1"/>
    </row>
    <row r="483" customFormat="false" ht="12.8" hidden="false" customHeight="false" outlineLevel="0" collapsed="false">
      <c r="A483" s="3"/>
      <c r="B483" s="1"/>
      <c r="C483" s="1"/>
      <c r="D483" s="1"/>
      <c r="E483" s="1"/>
      <c r="F483" s="1"/>
      <c r="G483" s="1"/>
      <c r="H483" s="1"/>
      <c r="I483" s="1"/>
      <c r="K483" s="1"/>
      <c r="L483" s="1"/>
      <c r="O483" s="1"/>
      <c r="P483" s="1"/>
      <c r="R483" s="1"/>
      <c r="S483" s="1"/>
      <c r="X483" s="1"/>
      <c r="AC483" s="1"/>
    </row>
    <row r="484" customFormat="false" ht="12.8" hidden="false" customHeight="false" outlineLevel="0" collapsed="false">
      <c r="A484" s="3"/>
      <c r="B484" s="1"/>
      <c r="C484" s="1"/>
      <c r="D484" s="1"/>
      <c r="E484" s="1"/>
      <c r="F484" s="1"/>
      <c r="G484" s="1"/>
      <c r="H484" s="1"/>
      <c r="I484" s="1"/>
      <c r="K484" s="1"/>
      <c r="L484" s="1"/>
      <c r="O484" s="1"/>
      <c r="P484" s="1"/>
      <c r="R484" s="1"/>
      <c r="S484" s="1"/>
      <c r="X484" s="1"/>
      <c r="AC484" s="1"/>
    </row>
    <row r="485" customFormat="false" ht="12.8" hidden="false" customHeight="false" outlineLevel="0" collapsed="false">
      <c r="A485" s="3"/>
      <c r="B485" s="1"/>
      <c r="C485" s="1"/>
      <c r="D485" s="1"/>
      <c r="E485" s="1"/>
      <c r="F485" s="1"/>
      <c r="G485" s="1"/>
      <c r="H485" s="1"/>
      <c r="I485" s="1"/>
      <c r="K485" s="1"/>
      <c r="L485" s="1"/>
      <c r="O485" s="1"/>
      <c r="P485" s="1"/>
      <c r="R485" s="1"/>
      <c r="S485" s="1"/>
      <c r="X485" s="1"/>
      <c r="AC485" s="1"/>
    </row>
    <row r="486" customFormat="false" ht="12.8" hidden="false" customHeight="false" outlineLevel="0" collapsed="false">
      <c r="A486" s="3"/>
      <c r="B486" s="1"/>
      <c r="C486" s="1"/>
      <c r="D486" s="1"/>
      <c r="E486" s="1"/>
      <c r="F486" s="1"/>
      <c r="G486" s="1"/>
      <c r="H486" s="1"/>
      <c r="I486" s="1"/>
      <c r="K486" s="1"/>
      <c r="L486" s="1"/>
      <c r="O486" s="1"/>
      <c r="P486" s="1"/>
      <c r="R486" s="1"/>
      <c r="S486" s="1"/>
      <c r="X486" s="1"/>
      <c r="AC486" s="1"/>
    </row>
    <row r="487" customFormat="false" ht="12.8" hidden="false" customHeight="false" outlineLevel="0" collapsed="false">
      <c r="A487" s="3"/>
      <c r="B487" s="1"/>
      <c r="C487" s="1"/>
      <c r="D487" s="1"/>
      <c r="E487" s="1"/>
      <c r="F487" s="1"/>
      <c r="G487" s="1"/>
      <c r="H487" s="1"/>
      <c r="I487" s="1"/>
      <c r="K487" s="1"/>
      <c r="L487" s="1"/>
      <c r="O487" s="1"/>
      <c r="P487" s="1"/>
      <c r="R487" s="1"/>
      <c r="S487" s="1"/>
      <c r="X487" s="1"/>
      <c r="AC487" s="1"/>
    </row>
    <row r="488" customFormat="false" ht="12.8" hidden="false" customHeight="false" outlineLevel="0" collapsed="false">
      <c r="A488" s="3"/>
      <c r="B488" s="1"/>
      <c r="C488" s="1"/>
      <c r="D488" s="1"/>
      <c r="E488" s="1"/>
      <c r="F488" s="1"/>
      <c r="G488" s="1"/>
      <c r="H488" s="1"/>
      <c r="I488" s="1"/>
      <c r="K488" s="1"/>
      <c r="L488" s="1"/>
      <c r="O488" s="1"/>
      <c r="P488" s="1"/>
      <c r="R488" s="1"/>
      <c r="S488" s="1"/>
      <c r="X488" s="1"/>
      <c r="AC488" s="1"/>
    </row>
    <row r="489" customFormat="false" ht="12.8" hidden="false" customHeight="false" outlineLevel="0" collapsed="false">
      <c r="A489" s="3"/>
      <c r="B489" s="1"/>
      <c r="C489" s="1"/>
      <c r="D489" s="1"/>
      <c r="E489" s="1"/>
      <c r="F489" s="1"/>
      <c r="G489" s="1"/>
      <c r="H489" s="1"/>
      <c r="I489" s="1"/>
      <c r="K489" s="1"/>
      <c r="L489" s="1"/>
      <c r="O489" s="1"/>
      <c r="P489" s="1"/>
      <c r="R489" s="1"/>
      <c r="S489" s="1"/>
      <c r="X489" s="1"/>
      <c r="AC489" s="1"/>
    </row>
    <row r="490" customFormat="false" ht="12.8" hidden="false" customHeight="false" outlineLevel="0" collapsed="false">
      <c r="A490" s="3"/>
      <c r="B490" s="1"/>
      <c r="C490" s="1"/>
      <c r="D490" s="1"/>
      <c r="E490" s="1"/>
      <c r="F490" s="1"/>
      <c r="G490" s="1"/>
      <c r="H490" s="1"/>
      <c r="I490" s="1"/>
      <c r="K490" s="1"/>
      <c r="L490" s="1"/>
      <c r="O490" s="1"/>
      <c r="P490" s="1"/>
      <c r="R490" s="1"/>
      <c r="S490" s="1"/>
      <c r="X490" s="1"/>
      <c r="AC490" s="1"/>
    </row>
    <row r="491" customFormat="false" ht="12.8" hidden="false" customHeight="false" outlineLevel="0" collapsed="false">
      <c r="A491" s="3"/>
      <c r="B491" s="1"/>
      <c r="C491" s="1"/>
      <c r="D491" s="1"/>
      <c r="E491" s="1"/>
      <c r="F491" s="1"/>
      <c r="G491" s="1"/>
      <c r="H491" s="1"/>
      <c r="I491" s="1"/>
      <c r="K491" s="1"/>
      <c r="L491" s="1"/>
      <c r="O491" s="1"/>
      <c r="P491" s="1"/>
      <c r="R491" s="1"/>
      <c r="S491" s="1"/>
      <c r="X491" s="1"/>
      <c r="AC491" s="1"/>
    </row>
    <row r="492" customFormat="false" ht="12.8" hidden="false" customHeight="false" outlineLevel="0" collapsed="false">
      <c r="A492" s="3"/>
      <c r="B492" s="1"/>
      <c r="C492" s="1"/>
      <c r="D492" s="1"/>
      <c r="E492" s="1"/>
      <c r="F492" s="1"/>
      <c r="G492" s="1"/>
      <c r="H492" s="1"/>
      <c r="I492" s="1"/>
      <c r="K492" s="1"/>
      <c r="L492" s="1"/>
      <c r="O492" s="1"/>
      <c r="P492" s="1"/>
      <c r="R492" s="1"/>
      <c r="S492" s="1"/>
      <c r="X492" s="1"/>
      <c r="AC492" s="1"/>
    </row>
    <row r="493" customFormat="false" ht="12.8" hidden="false" customHeight="false" outlineLevel="0" collapsed="false">
      <c r="A493" s="3"/>
      <c r="B493" s="1"/>
      <c r="C493" s="1"/>
      <c r="D493" s="1"/>
      <c r="E493" s="1"/>
      <c r="F493" s="1"/>
      <c r="G493" s="1"/>
      <c r="H493" s="1"/>
      <c r="I493" s="1"/>
      <c r="K493" s="1"/>
      <c r="L493" s="1"/>
      <c r="O493" s="1"/>
      <c r="P493" s="1"/>
      <c r="R493" s="1"/>
      <c r="S493" s="1"/>
      <c r="X493" s="1"/>
      <c r="AC493" s="1"/>
    </row>
    <row r="494" customFormat="false" ht="12.8" hidden="false" customHeight="false" outlineLevel="0" collapsed="false">
      <c r="A494" s="3"/>
      <c r="B494" s="1"/>
      <c r="C494" s="1"/>
      <c r="D494" s="1"/>
      <c r="E494" s="1"/>
      <c r="F494" s="1"/>
      <c r="G494" s="1"/>
      <c r="H494" s="1"/>
      <c r="I494" s="1"/>
      <c r="K494" s="1"/>
      <c r="L494" s="1"/>
      <c r="O494" s="1"/>
      <c r="P494" s="1"/>
      <c r="R494" s="1"/>
      <c r="S494" s="1"/>
      <c r="X494" s="1"/>
      <c r="AC494" s="1"/>
    </row>
    <row r="495" customFormat="false" ht="12.8" hidden="false" customHeight="false" outlineLevel="0" collapsed="false">
      <c r="A495" s="3"/>
      <c r="B495" s="1"/>
      <c r="C495" s="1"/>
      <c r="D495" s="1"/>
      <c r="E495" s="1"/>
      <c r="F495" s="1"/>
      <c r="G495" s="1"/>
      <c r="H495" s="1"/>
      <c r="I495" s="1"/>
      <c r="K495" s="1"/>
      <c r="L495" s="1"/>
      <c r="O495" s="1"/>
      <c r="P495" s="1"/>
      <c r="R495" s="1"/>
      <c r="S495" s="1"/>
      <c r="X495" s="1"/>
      <c r="AC495" s="1"/>
    </row>
    <row r="496" customFormat="false" ht="12.8" hidden="false" customHeight="false" outlineLevel="0" collapsed="false">
      <c r="A496" s="3"/>
      <c r="B496" s="1"/>
      <c r="C496" s="1"/>
      <c r="D496" s="1"/>
      <c r="E496" s="1"/>
      <c r="F496" s="1"/>
      <c r="G496" s="1"/>
      <c r="H496" s="1"/>
      <c r="I496" s="1"/>
      <c r="K496" s="1"/>
      <c r="L496" s="1"/>
      <c r="O496" s="1"/>
      <c r="P496" s="1"/>
      <c r="R496" s="1"/>
      <c r="S496" s="1"/>
      <c r="X496" s="1"/>
      <c r="AC496" s="1"/>
    </row>
    <row r="497" customFormat="false" ht="12.8" hidden="false" customHeight="false" outlineLevel="0" collapsed="false">
      <c r="A497" s="3"/>
      <c r="B497" s="1"/>
      <c r="C497" s="1"/>
      <c r="D497" s="1"/>
      <c r="E497" s="1"/>
      <c r="F497" s="1"/>
      <c r="G497" s="1"/>
      <c r="H497" s="1"/>
      <c r="I497" s="1"/>
      <c r="K497" s="1"/>
      <c r="L497" s="1"/>
      <c r="O497" s="1"/>
      <c r="P497" s="1"/>
      <c r="R497" s="1"/>
      <c r="S497" s="1"/>
      <c r="X497" s="1"/>
      <c r="AC497" s="1"/>
    </row>
    <row r="498" customFormat="false" ht="12.8" hidden="false" customHeight="false" outlineLevel="0" collapsed="false">
      <c r="A498" s="3"/>
      <c r="B498" s="1"/>
      <c r="C498" s="1"/>
      <c r="D498" s="1"/>
      <c r="E498" s="1"/>
      <c r="F498" s="1"/>
      <c r="G498" s="1"/>
      <c r="H498" s="1"/>
      <c r="I498" s="1"/>
      <c r="K498" s="1"/>
      <c r="L498" s="1"/>
      <c r="O498" s="1"/>
      <c r="P498" s="1"/>
      <c r="R498" s="1"/>
      <c r="S498" s="1"/>
      <c r="X498" s="1"/>
      <c r="AC498" s="1"/>
    </row>
    <row r="499" customFormat="false" ht="12.8" hidden="false" customHeight="false" outlineLevel="0" collapsed="false">
      <c r="A499" s="3"/>
      <c r="B499" s="1"/>
      <c r="C499" s="1"/>
      <c r="D499" s="1"/>
      <c r="E499" s="1"/>
      <c r="F499" s="1"/>
      <c r="G499" s="1"/>
      <c r="H499" s="1"/>
      <c r="I499" s="1"/>
      <c r="K499" s="1"/>
      <c r="L499" s="1"/>
      <c r="O499" s="1"/>
      <c r="P499" s="1"/>
      <c r="R499" s="1"/>
      <c r="S499" s="1"/>
      <c r="X499" s="1"/>
      <c r="AC499" s="1"/>
    </row>
    <row r="500" customFormat="false" ht="12.8" hidden="false" customHeight="false" outlineLevel="0" collapsed="false">
      <c r="A500" s="3"/>
      <c r="B500" s="1"/>
      <c r="C500" s="1"/>
      <c r="D500" s="1"/>
      <c r="E500" s="1"/>
      <c r="F500" s="1"/>
      <c r="G500" s="1"/>
      <c r="H500" s="1"/>
      <c r="I500" s="1"/>
      <c r="K500" s="1"/>
      <c r="L500" s="1"/>
      <c r="O500" s="1"/>
      <c r="P500" s="1"/>
      <c r="R500" s="1"/>
      <c r="S500" s="1"/>
      <c r="X500" s="1"/>
      <c r="AC500" s="1"/>
    </row>
    <row r="501" customFormat="false" ht="12.8" hidden="false" customHeight="false" outlineLevel="0" collapsed="false">
      <c r="A501" s="3"/>
      <c r="B501" s="1"/>
      <c r="C501" s="1"/>
      <c r="D501" s="1"/>
      <c r="E501" s="1"/>
      <c r="F501" s="1"/>
      <c r="G501" s="1"/>
      <c r="H501" s="1"/>
      <c r="I501" s="1"/>
      <c r="K501" s="1"/>
      <c r="L501" s="1"/>
      <c r="O501" s="1"/>
      <c r="P501" s="1"/>
      <c r="R501" s="1"/>
      <c r="S501" s="1"/>
      <c r="X501" s="1"/>
      <c r="AC501" s="1"/>
    </row>
    <row r="502" customFormat="false" ht="12.8" hidden="false" customHeight="false" outlineLevel="0" collapsed="false">
      <c r="A502" s="3"/>
      <c r="B502" s="1"/>
      <c r="C502" s="1"/>
      <c r="D502" s="1"/>
      <c r="E502" s="1"/>
      <c r="F502" s="1"/>
      <c r="G502" s="1"/>
      <c r="H502" s="1"/>
      <c r="I502" s="1"/>
      <c r="K502" s="1"/>
      <c r="L502" s="1"/>
      <c r="O502" s="1"/>
      <c r="P502" s="1"/>
      <c r="R502" s="1"/>
      <c r="S502" s="1"/>
      <c r="X502" s="1"/>
      <c r="AC502" s="1"/>
    </row>
    <row r="503" customFormat="false" ht="12.8" hidden="false" customHeight="false" outlineLevel="0" collapsed="false">
      <c r="A503" s="3"/>
      <c r="B503" s="1"/>
      <c r="C503" s="1"/>
      <c r="D503" s="1"/>
      <c r="E503" s="1"/>
      <c r="F503" s="1"/>
      <c r="G503" s="1"/>
      <c r="H503" s="1"/>
      <c r="I503" s="1"/>
      <c r="K503" s="1"/>
      <c r="L503" s="1"/>
      <c r="O503" s="1"/>
      <c r="P503" s="1"/>
      <c r="R503" s="1"/>
      <c r="S503" s="1"/>
      <c r="X503" s="1"/>
      <c r="AC503" s="1"/>
    </row>
    <row r="504" customFormat="false" ht="12.8" hidden="false" customHeight="false" outlineLevel="0" collapsed="false">
      <c r="A504" s="3"/>
      <c r="B504" s="1"/>
      <c r="C504" s="1"/>
      <c r="D504" s="1"/>
      <c r="E504" s="1"/>
      <c r="F504" s="1"/>
      <c r="G504" s="1"/>
      <c r="H504" s="1"/>
      <c r="I504" s="1"/>
      <c r="K504" s="1"/>
      <c r="L504" s="1"/>
      <c r="O504" s="1"/>
      <c r="P504" s="1"/>
      <c r="R504" s="1"/>
      <c r="S504" s="1"/>
      <c r="X504" s="1"/>
      <c r="AC504" s="1"/>
    </row>
    <row r="505" customFormat="false" ht="12.8" hidden="false" customHeight="false" outlineLevel="0" collapsed="false">
      <c r="A505" s="3"/>
      <c r="B505" s="1"/>
      <c r="C505" s="1"/>
      <c r="D505" s="1"/>
      <c r="E505" s="1"/>
      <c r="F505" s="1"/>
      <c r="G505" s="1"/>
      <c r="H505" s="1"/>
      <c r="I505" s="1"/>
      <c r="K505" s="1"/>
      <c r="L505" s="1"/>
      <c r="N505" s="1"/>
      <c r="O505" s="1"/>
      <c r="P505" s="1"/>
      <c r="R505" s="1"/>
      <c r="S505" s="1"/>
      <c r="X505" s="1"/>
      <c r="AC505" s="1"/>
    </row>
    <row r="506" customFormat="false" ht="12.8" hidden="false" customHeight="false" outlineLevel="0" collapsed="false">
      <c r="A506" s="3"/>
      <c r="B506" s="1"/>
      <c r="C506" s="1"/>
      <c r="D506" s="1"/>
      <c r="E506" s="1"/>
      <c r="F506" s="1"/>
      <c r="G506" s="1"/>
      <c r="H506" s="1"/>
      <c r="I506" s="1"/>
      <c r="K506" s="1"/>
      <c r="L506" s="1"/>
      <c r="N506" s="1"/>
      <c r="O506" s="1"/>
      <c r="P506" s="1"/>
      <c r="R506" s="1"/>
      <c r="S506" s="1"/>
      <c r="X506" s="1"/>
      <c r="AC506" s="1"/>
    </row>
    <row r="507" customFormat="false" ht="12.8" hidden="false" customHeight="false" outlineLevel="0" collapsed="false">
      <c r="A507" s="3"/>
      <c r="B507" s="1"/>
      <c r="C507" s="1"/>
      <c r="D507" s="1"/>
      <c r="E507" s="1"/>
      <c r="F507" s="1"/>
      <c r="G507" s="1"/>
      <c r="H507" s="1"/>
      <c r="I507" s="1"/>
      <c r="K507" s="1"/>
      <c r="L507" s="1"/>
      <c r="N507" s="1"/>
      <c r="O507" s="1"/>
      <c r="P507" s="1"/>
      <c r="R507" s="1"/>
      <c r="S507" s="1"/>
      <c r="X507" s="1"/>
      <c r="AC507" s="1"/>
    </row>
    <row r="508" customFormat="false" ht="12.8" hidden="false" customHeight="false" outlineLevel="0" collapsed="false">
      <c r="A508" s="3"/>
      <c r="B508" s="1"/>
      <c r="C508" s="1"/>
      <c r="D508" s="1"/>
      <c r="E508" s="1"/>
      <c r="F508" s="1"/>
      <c r="G508" s="1"/>
      <c r="H508" s="1"/>
      <c r="I508" s="1"/>
      <c r="K508" s="1"/>
      <c r="L508" s="1"/>
      <c r="N508" s="1"/>
      <c r="O508" s="1"/>
      <c r="P508" s="1"/>
      <c r="R508" s="1"/>
      <c r="S508" s="1"/>
      <c r="X508" s="1"/>
      <c r="AC508" s="1"/>
    </row>
    <row r="509" customFormat="false" ht="12.8" hidden="false" customHeight="false" outlineLevel="0" collapsed="false">
      <c r="A509" s="3"/>
      <c r="B509" s="1"/>
      <c r="C509" s="1"/>
      <c r="D509" s="1"/>
      <c r="E509" s="1"/>
      <c r="F509" s="1"/>
      <c r="G509" s="1"/>
      <c r="H509" s="1"/>
      <c r="I509" s="1"/>
      <c r="K509" s="1"/>
      <c r="L509" s="1"/>
      <c r="N509" s="1"/>
      <c r="O509" s="1"/>
      <c r="P509" s="1"/>
      <c r="R509" s="1"/>
      <c r="S509" s="1"/>
      <c r="X509" s="1"/>
      <c r="AC509" s="1"/>
    </row>
    <row r="510" customFormat="false" ht="12.8" hidden="false" customHeight="false" outlineLevel="0" collapsed="false">
      <c r="A510" s="3"/>
      <c r="B510" s="1"/>
      <c r="C510" s="1"/>
      <c r="D510" s="1"/>
      <c r="E510" s="1"/>
      <c r="F510" s="1"/>
      <c r="G510" s="1"/>
      <c r="H510" s="1"/>
      <c r="I510" s="1"/>
      <c r="K510" s="1"/>
      <c r="L510" s="1"/>
      <c r="N510" s="1"/>
      <c r="O510" s="1"/>
      <c r="P510" s="1"/>
      <c r="R510" s="1"/>
      <c r="S510" s="1"/>
      <c r="X510" s="1"/>
      <c r="AC510" s="1"/>
    </row>
    <row r="511" customFormat="false" ht="12.8" hidden="false" customHeight="false" outlineLevel="0" collapsed="false">
      <c r="A511" s="3"/>
      <c r="B511" s="1"/>
      <c r="C511" s="1"/>
      <c r="D511" s="1"/>
      <c r="E511" s="1"/>
      <c r="F511" s="1"/>
      <c r="G511" s="1"/>
      <c r="H511" s="1"/>
      <c r="I511" s="1"/>
      <c r="K511" s="1"/>
      <c r="L511" s="1"/>
      <c r="N511" s="1"/>
      <c r="O511" s="1"/>
      <c r="P511" s="1"/>
      <c r="R511" s="1"/>
      <c r="S511" s="1"/>
      <c r="X511" s="1"/>
      <c r="AC511" s="1"/>
    </row>
    <row r="512" customFormat="false" ht="12.8" hidden="false" customHeight="false" outlineLevel="0" collapsed="false">
      <c r="A512" s="3"/>
      <c r="B512" s="1"/>
      <c r="C512" s="1"/>
      <c r="D512" s="1"/>
      <c r="E512" s="1"/>
      <c r="F512" s="1"/>
      <c r="G512" s="1"/>
      <c r="H512" s="1"/>
      <c r="I512" s="1"/>
      <c r="K512" s="1"/>
      <c r="L512" s="1"/>
      <c r="N512" s="1"/>
      <c r="O512" s="1"/>
      <c r="P512" s="1"/>
      <c r="R512" s="1"/>
      <c r="S512" s="1"/>
      <c r="X512" s="1"/>
      <c r="AC512" s="1"/>
    </row>
    <row r="513" customFormat="false" ht="12.8" hidden="false" customHeight="false" outlineLevel="0" collapsed="false">
      <c r="A513" s="3"/>
      <c r="B513" s="1"/>
      <c r="C513" s="1"/>
      <c r="D513" s="1"/>
      <c r="E513" s="1"/>
      <c r="F513" s="1"/>
      <c r="G513" s="1"/>
      <c r="H513" s="1"/>
      <c r="I513" s="1"/>
      <c r="K513" s="1"/>
      <c r="L513" s="1"/>
      <c r="N513" s="1"/>
      <c r="O513" s="1"/>
      <c r="P513" s="1"/>
      <c r="R513" s="1"/>
      <c r="S513" s="1"/>
      <c r="X513" s="1"/>
      <c r="AC513" s="1"/>
    </row>
    <row r="514" customFormat="false" ht="12.8" hidden="false" customHeight="false" outlineLevel="0" collapsed="false">
      <c r="A514" s="3"/>
      <c r="B514" s="1"/>
      <c r="C514" s="1"/>
      <c r="D514" s="1"/>
      <c r="E514" s="1"/>
      <c r="F514" s="1"/>
      <c r="G514" s="1"/>
      <c r="H514" s="1"/>
      <c r="I514" s="1"/>
      <c r="K514" s="1"/>
      <c r="L514" s="1"/>
      <c r="N514" s="1"/>
      <c r="O514" s="1"/>
      <c r="P514" s="1"/>
      <c r="R514" s="1"/>
      <c r="S514" s="1"/>
      <c r="X514" s="1"/>
      <c r="AC514" s="1"/>
    </row>
    <row r="515" customFormat="false" ht="12.8" hidden="false" customHeight="false" outlineLevel="0" collapsed="false">
      <c r="A515" s="3"/>
      <c r="B515" s="1"/>
      <c r="C515" s="1"/>
      <c r="D515" s="1"/>
      <c r="E515" s="1"/>
      <c r="F515" s="1"/>
      <c r="G515" s="1"/>
      <c r="H515" s="1"/>
      <c r="I515" s="1"/>
      <c r="K515" s="1"/>
      <c r="L515" s="1"/>
      <c r="N515" s="1"/>
      <c r="O515" s="1"/>
      <c r="P515" s="1"/>
      <c r="R515" s="1"/>
      <c r="S515" s="1"/>
      <c r="X515" s="1"/>
      <c r="AC515" s="1"/>
    </row>
    <row r="516" customFormat="false" ht="12.8" hidden="false" customHeight="false" outlineLevel="0" collapsed="false">
      <c r="A516" s="3"/>
      <c r="B516" s="1"/>
      <c r="C516" s="1"/>
      <c r="D516" s="1"/>
      <c r="E516" s="1"/>
      <c r="F516" s="1"/>
      <c r="G516" s="1"/>
      <c r="H516" s="1"/>
      <c r="I516" s="1"/>
      <c r="K516" s="1"/>
      <c r="L516" s="1"/>
      <c r="N516" s="1"/>
      <c r="O516" s="1"/>
      <c r="P516" s="1"/>
      <c r="R516" s="1"/>
      <c r="S516" s="1"/>
      <c r="X516" s="1"/>
      <c r="AC516" s="1"/>
    </row>
    <row r="517" customFormat="false" ht="12.8" hidden="false" customHeight="false" outlineLevel="0" collapsed="false">
      <c r="A517" s="3"/>
      <c r="B517" s="1"/>
      <c r="C517" s="1"/>
      <c r="D517" s="1"/>
      <c r="E517" s="1"/>
      <c r="F517" s="1"/>
      <c r="G517" s="1"/>
      <c r="H517" s="1"/>
      <c r="I517" s="1"/>
      <c r="K517" s="1"/>
      <c r="L517" s="1"/>
      <c r="N517" s="1"/>
      <c r="O517" s="1"/>
      <c r="P517" s="1"/>
      <c r="R517" s="1"/>
      <c r="S517" s="1"/>
      <c r="X517" s="1"/>
      <c r="AC517" s="1"/>
    </row>
    <row r="518" customFormat="false" ht="12.8" hidden="false" customHeight="false" outlineLevel="0" collapsed="false">
      <c r="A518" s="3"/>
      <c r="B518" s="1"/>
      <c r="C518" s="1"/>
      <c r="D518" s="1"/>
      <c r="E518" s="1"/>
      <c r="F518" s="1"/>
      <c r="G518" s="1"/>
      <c r="H518" s="1"/>
      <c r="I518" s="1"/>
      <c r="K518" s="1"/>
      <c r="L518" s="1"/>
      <c r="N518" s="1"/>
      <c r="O518" s="1"/>
      <c r="P518" s="1"/>
      <c r="R518" s="1"/>
      <c r="S518" s="1"/>
      <c r="X518" s="1"/>
      <c r="AC518" s="1"/>
    </row>
    <row r="519" customFormat="false" ht="12.8" hidden="false" customHeight="false" outlineLevel="0" collapsed="false">
      <c r="A519" s="3"/>
      <c r="B519" s="1"/>
      <c r="C519" s="1"/>
      <c r="D519" s="1"/>
      <c r="E519" s="1"/>
      <c r="F519" s="1"/>
      <c r="G519" s="1"/>
      <c r="H519" s="1"/>
      <c r="I519" s="1"/>
      <c r="K519" s="1"/>
      <c r="L519" s="1"/>
      <c r="N519" s="1"/>
      <c r="O519" s="1"/>
      <c r="P519" s="1"/>
      <c r="R519" s="1"/>
      <c r="S519" s="1"/>
      <c r="X519" s="1"/>
      <c r="AC519" s="1"/>
    </row>
    <row r="520" customFormat="false" ht="12.8" hidden="false" customHeight="false" outlineLevel="0" collapsed="false">
      <c r="A520" s="3"/>
      <c r="B520" s="1"/>
      <c r="C520" s="1"/>
      <c r="D520" s="1"/>
      <c r="E520" s="1"/>
      <c r="F520" s="1"/>
      <c r="G520" s="1"/>
      <c r="H520" s="1"/>
      <c r="I520" s="1"/>
      <c r="K520" s="1"/>
      <c r="L520" s="1"/>
      <c r="N520" s="1"/>
      <c r="O520" s="1"/>
      <c r="P520" s="1"/>
      <c r="R520" s="1"/>
      <c r="S520" s="1"/>
      <c r="X520" s="1"/>
      <c r="AC520" s="1"/>
    </row>
    <row r="521" customFormat="false" ht="12.8" hidden="false" customHeight="false" outlineLevel="0" collapsed="false">
      <c r="A521" s="3"/>
      <c r="B521" s="1"/>
      <c r="C521" s="1"/>
      <c r="D521" s="1"/>
      <c r="E521" s="1"/>
      <c r="F521" s="1"/>
      <c r="G521" s="1"/>
      <c r="H521" s="1"/>
      <c r="I521" s="1"/>
      <c r="K521" s="1"/>
      <c r="L521" s="1"/>
      <c r="N521" s="1"/>
      <c r="O521" s="1"/>
      <c r="P521" s="1"/>
      <c r="R521" s="1"/>
      <c r="S521" s="1"/>
      <c r="X521" s="1"/>
      <c r="AC521" s="1"/>
    </row>
    <row r="522" customFormat="false" ht="12.8" hidden="false" customHeight="false" outlineLevel="0" collapsed="false">
      <c r="A522" s="3"/>
      <c r="B522" s="1"/>
      <c r="C522" s="1"/>
      <c r="D522" s="1"/>
      <c r="E522" s="1"/>
      <c r="F522" s="1"/>
      <c r="G522" s="1"/>
      <c r="H522" s="1"/>
      <c r="I522" s="1"/>
      <c r="K522" s="1"/>
      <c r="L522" s="1"/>
      <c r="N522" s="1"/>
      <c r="O522" s="1"/>
      <c r="P522" s="1"/>
      <c r="R522" s="1"/>
      <c r="S522" s="1"/>
      <c r="X522" s="1"/>
      <c r="AC522" s="1"/>
    </row>
    <row r="523" customFormat="false" ht="12.8" hidden="false" customHeight="false" outlineLevel="0" collapsed="false">
      <c r="A523" s="3"/>
      <c r="B523" s="1"/>
      <c r="C523" s="1"/>
      <c r="D523" s="1"/>
      <c r="E523" s="1"/>
      <c r="F523" s="1"/>
      <c r="G523" s="1"/>
      <c r="H523" s="1"/>
      <c r="I523" s="1"/>
      <c r="K523" s="1"/>
      <c r="L523" s="1"/>
      <c r="N523" s="1"/>
      <c r="O523" s="1"/>
      <c r="P523" s="1"/>
      <c r="R523" s="1"/>
      <c r="S523" s="1"/>
      <c r="X523" s="1"/>
      <c r="AC523" s="1"/>
    </row>
    <row r="524" customFormat="false" ht="12.8" hidden="false" customHeight="false" outlineLevel="0" collapsed="false">
      <c r="A524" s="3"/>
      <c r="B524" s="1"/>
      <c r="C524" s="1"/>
      <c r="D524" s="1"/>
      <c r="E524" s="1"/>
      <c r="F524" s="1"/>
      <c r="G524" s="1"/>
      <c r="H524" s="1"/>
      <c r="I524" s="1"/>
      <c r="K524" s="1"/>
      <c r="L524" s="1"/>
      <c r="N524" s="1"/>
      <c r="O524" s="1"/>
      <c r="P524" s="1"/>
      <c r="R524" s="1"/>
      <c r="S524" s="1"/>
      <c r="X524" s="1"/>
      <c r="AC524" s="1"/>
    </row>
    <row r="525" customFormat="false" ht="12.8" hidden="false" customHeight="false" outlineLevel="0" collapsed="false">
      <c r="A525" s="3"/>
      <c r="B525" s="1"/>
      <c r="C525" s="1"/>
      <c r="D525" s="1"/>
      <c r="E525" s="1"/>
      <c r="F525" s="1"/>
      <c r="G525" s="1"/>
      <c r="H525" s="1"/>
      <c r="I525" s="1"/>
      <c r="K525" s="1"/>
      <c r="L525" s="1"/>
      <c r="N525" s="1"/>
      <c r="O525" s="1"/>
      <c r="P525" s="1"/>
      <c r="R525" s="1"/>
      <c r="S525" s="1"/>
      <c r="X525" s="1"/>
      <c r="AC525" s="1"/>
    </row>
    <row r="526" customFormat="false" ht="12.8" hidden="false" customHeight="false" outlineLevel="0" collapsed="false">
      <c r="A526" s="3"/>
      <c r="B526" s="1"/>
      <c r="C526" s="1"/>
      <c r="D526" s="1"/>
      <c r="E526" s="1"/>
      <c r="F526" s="1"/>
      <c r="G526" s="1"/>
      <c r="H526" s="1"/>
      <c r="I526" s="1"/>
      <c r="K526" s="1"/>
      <c r="L526" s="1"/>
      <c r="N526" s="1"/>
      <c r="O526" s="1"/>
      <c r="P526" s="1"/>
      <c r="R526" s="1"/>
      <c r="S526" s="1"/>
      <c r="X526" s="1"/>
      <c r="AC526" s="1"/>
    </row>
    <row r="527" customFormat="false" ht="12.8" hidden="false" customHeight="false" outlineLevel="0" collapsed="false">
      <c r="A527" s="3"/>
      <c r="B527" s="1"/>
      <c r="C527" s="1"/>
      <c r="D527" s="1"/>
      <c r="E527" s="1"/>
      <c r="F527" s="1"/>
      <c r="G527" s="1"/>
      <c r="H527" s="1"/>
      <c r="I527" s="1"/>
      <c r="K527" s="1"/>
      <c r="L527" s="1"/>
      <c r="N527" s="1"/>
      <c r="O527" s="1"/>
      <c r="P527" s="1"/>
      <c r="R527" s="1"/>
      <c r="S527" s="1"/>
      <c r="X527" s="1"/>
      <c r="AC527" s="1"/>
    </row>
    <row r="528" customFormat="false" ht="12.8" hidden="false" customHeight="false" outlineLevel="0" collapsed="false">
      <c r="A528" s="3"/>
      <c r="B528" s="1"/>
      <c r="C528" s="1"/>
      <c r="D528" s="1"/>
      <c r="E528" s="1"/>
      <c r="F528" s="1"/>
      <c r="G528" s="1"/>
      <c r="H528" s="1"/>
      <c r="I528" s="1"/>
      <c r="K528" s="1"/>
      <c r="L528" s="1"/>
      <c r="N528" s="1"/>
      <c r="O528" s="1"/>
      <c r="P528" s="1"/>
      <c r="R528" s="1"/>
      <c r="S528" s="1"/>
      <c r="X528" s="1"/>
      <c r="AC528" s="1"/>
    </row>
    <row r="529" customFormat="false" ht="12.8" hidden="false" customHeight="false" outlineLevel="0" collapsed="false">
      <c r="A529" s="3"/>
      <c r="B529" s="1"/>
      <c r="C529" s="1"/>
      <c r="D529" s="1"/>
      <c r="E529" s="1"/>
      <c r="F529" s="1"/>
      <c r="G529" s="1"/>
      <c r="H529" s="1"/>
      <c r="I529" s="1"/>
      <c r="K529" s="1"/>
      <c r="L529" s="1"/>
      <c r="N529" s="1"/>
      <c r="O529" s="1"/>
      <c r="P529" s="1"/>
      <c r="R529" s="1"/>
      <c r="S529" s="1"/>
      <c r="X529" s="1"/>
      <c r="AC529" s="1"/>
    </row>
    <row r="530" customFormat="false" ht="12.8" hidden="false" customHeight="false" outlineLevel="0" collapsed="false">
      <c r="A530" s="3"/>
      <c r="B530" s="1"/>
      <c r="C530" s="1"/>
      <c r="D530" s="1"/>
      <c r="E530" s="1"/>
      <c r="F530" s="1"/>
      <c r="G530" s="1"/>
      <c r="H530" s="1"/>
      <c r="I530" s="1"/>
      <c r="K530" s="1"/>
      <c r="L530" s="1"/>
      <c r="N530" s="1"/>
      <c r="O530" s="1"/>
      <c r="P530" s="1"/>
      <c r="R530" s="1"/>
      <c r="S530" s="1"/>
      <c r="X530" s="1"/>
      <c r="AC530" s="1"/>
    </row>
    <row r="531" customFormat="false" ht="12.8" hidden="false" customHeight="false" outlineLevel="0" collapsed="false">
      <c r="A531" s="3"/>
      <c r="B531" s="1"/>
      <c r="C531" s="1"/>
      <c r="D531" s="1"/>
      <c r="E531" s="1"/>
      <c r="F531" s="1"/>
      <c r="G531" s="1"/>
      <c r="H531" s="1"/>
      <c r="I531" s="1"/>
      <c r="K531" s="1"/>
      <c r="L531" s="1"/>
      <c r="N531" s="1"/>
      <c r="O531" s="1"/>
      <c r="P531" s="1"/>
      <c r="R531" s="1"/>
      <c r="S531" s="1"/>
      <c r="X531" s="1"/>
      <c r="AC531" s="1"/>
    </row>
    <row r="532" customFormat="false" ht="12.8" hidden="false" customHeight="false" outlineLevel="0" collapsed="false">
      <c r="A532" s="3"/>
      <c r="B532" s="1"/>
      <c r="C532" s="1"/>
      <c r="D532" s="1"/>
      <c r="E532" s="1"/>
      <c r="F532" s="1"/>
      <c r="G532" s="1"/>
      <c r="H532" s="1"/>
      <c r="I532" s="1"/>
      <c r="K532" s="1"/>
      <c r="L532" s="1"/>
      <c r="O532" s="1"/>
      <c r="P532" s="1"/>
      <c r="R532" s="1"/>
      <c r="S532" s="1"/>
      <c r="X532" s="1"/>
      <c r="AC532" s="1"/>
    </row>
    <row r="533" customFormat="false" ht="12.8" hidden="false" customHeight="false" outlineLevel="0" collapsed="false">
      <c r="A533" s="3"/>
      <c r="B533" s="1"/>
      <c r="C533" s="1"/>
      <c r="D533" s="1"/>
      <c r="E533" s="1"/>
      <c r="F533" s="1"/>
      <c r="G533" s="1"/>
      <c r="H533" s="1"/>
      <c r="I533" s="1"/>
      <c r="K533" s="1"/>
      <c r="L533" s="1"/>
      <c r="O533" s="1"/>
      <c r="P533" s="1"/>
      <c r="R533" s="1"/>
      <c r="S533" s="1"/>
      <c r="X533" s="1"/>
      <c r="AC533" s="1"/>
    </row>
    <row r="534" customFormat="false" ht="12.8" hidden="false" customHeight="false" outlineLevel="0" collapsed="false">
      <c r="A534" s="3"/>
      <c r="B534" s="1"/>
      <c r="C534" s="1"/>
      <c r="D534" s="1"/>
      <c r="E534" s="1"/>
      <c r="F534" s="1"/>
      <c r="G534" s="1"/>
      <c r="H534" s="1"/>
      <c r="I534" s="1"/>
      <c r="K534" s="1"/>
      <c r="L534" s="1"/>
      <c r="O534" s="1"/>
      <c r="P534" s="1"/>
      <c r="R534" s="1"/>
      <c r="S534" s="1"/>
      <c r="X534" s="1"/>
      <c r="AC534" s="1"/>
    </row>
    <row r="535" customFormat="false" ht="12.8" hidden="false" customHeight="false" outlineLevel="0" collapsed="false">
      <c r="A535" s="3"/>
      <c r="B535" s="1"/>
      <c r="C535" s="1"/>
      <c r="D535" s="1"/>
      <c r="E535" s="1"/>
      <c r="F535" s="1"/>
      <c r="G535" s="1"/>
      <c r="H535" s="1"/>
      <c r="I535" s="1"/>
      <c r="K535" s="1"/>
      <c r="L535" s="1"/>
      <c r="O535" s="1"/>
      <c r="P535" s="1"/>
      <c r="R535" s="1"/>
      <c r="S535" s="1"/>
      <c r="X535" s="1"/>
      <c r="AC535" s="1"/>
    </row>
    <row r="536" customFormat="false" ht="12.8" hidden="false" customHeight="false" outlineLevel="0" collapsed="false">
      <c r="A536" s="3"/>
      <c r="B536" s="1"/>
      <c r="C536" s="1"/>
      <c r="D536" s="1"/>
      <c r="E536" s="1"/>
      <c r="F536" s="1"/>
      <c r="G536" s="1"/>
      <c r="H536" s="1"/>
      <c r="I536" s="1"/>
      <c r="K536" s="1"/>
      <c r="L536" s="1"/>
      <c r="O536" s="1"/>
      <c r="P536" s="1"/>
      <c r="R536" s="1"/>
      <c r="S536" s="1"/>
      <c r="X536" s="1"/>
      <c r="AC536" s="1"/>
    </row>
    <row r="537" customFormat="false" ht="12.8" hidden="false" customHeight="false" outlineLevel="0" collapsed="false">
      <c r="A537" s="3"/>
      <c r="B537" s="1"/>
      <c r="C537" s="1"/>
      <c r="D537" s="1"/>
      <c r="E537" s="1"/>
      <c r="F537" s="1"/>
      <c r="G537" s="1"/>
      <c r="H537" s="1"/>
      <c r="I537" s="1"/>
      <c r="K537" s="1"/>
      <c r="L537" s="1"/>
      <c r="O537" s="1"/>
      <c r="P537" s="1"/>
      <c r="R537" s="1"/>
      <c r="S537" s="1"/>
      <c r="X537" s="1"/>
      <c r="AC537" s="1"/>
    </row>
    <row r="538" customFormat="false" ht="12.8" hidden="false" customHeight="false" outlineLevel="0" collapsed="false">
      <c r="A538" s="3"/>
      <c r="B538" s="1"/>
      <c r="C538" s="1"/>
      <c r="D538" s="1"/>
      <c r="E538" s="1"/>
      <c r="F538" s="1"/>
      <c r="G538" s="1"/>
      <c r="H538" s="1"/>
      <c r="I538" s="1"/>
      <c r="K538" s="1"/>
      <c r="L538" s="1"/>
      <c r="N538" s="1"/>
      <c r="O538" s="1"/>
      <c r="P538" s="1"/>
      <c r="Q538" s="1"/>
      <c r="R538" s="1"/>
      <c r="S538" s="1"/>
      <c r="X538" s="1"/>
      <c r="Y538" s="1"/>
      <c r="AC538" s="1"/>
    </row>
    <row r="539" customFormat="false" ht="12.8" hidden="false" customHeight="false" outlineLevel="0" collapsed="false">
      <c r="A539" s="3"/>
      <c r="B539" s="1"/>
      <c r="C539" s="1"/>
      <c r="D539" s="1"/>
      <c r="E539" s="1"/>
      <c r="G539" s="1"/>
      <c r="H539" s="1"/>
      <c r="I539" s="1"/>
      <c r="K539" s="1"/>
      <c r="L539" s="1"/>
      <c r="N539" s="1"/>
      <c r="O539" s="1"/>
      <c r="P539" s="1"/>
      <c r="Q539" s="1"/>
      <c r="R539" s="1"/>
      <c r="S539" s="1"/>
      <c r="X539" s="1"/>
      <c r="AC539" s="1"/>
    </row>
    <row r="540" customFormat="false" ht="12.8" hidden="false" customHeight="false" outlineLevel="0" collapsed="false">
      <c r="A540" s="3"/>
      <c r="B540" s="1"/>
      <c r="C540" s="1"/>
      <c r="D540" s="1"/>
      <c r="E540" s="1"/>
      <c r="G540" s="1"/>
      <c r="H540" s="1"/>
      <c r="I540" s="1"/>
      <c r="K540" s="1"/>
      <c r="L540" s="1"/>
      <c r="N540" s="1"/>
      <c r="O540" s="1"/>
      <c r="P540" s="1"/>
      <c r="Q540" s="1"/>
      <c r="R540" s="1"/>
      <c r="S540" s="1"/>
      <c r="X540" s="1"/>
      <c r="AC540" s="1"/>
    </row>
    <row r="541" customFormat="false" ht="12.8" hidden="false" customHeight="false" outlineLevel="0" collapsed="false">
      <c r="A541" s="3"/>
      <c r="B541" s="1"/>
      <c r="C541" s="1"/>
      <c r="D541" s="1"/>
      <c r="E541" s="1"/>
      <c r="G541" s="1"/>
      <c r="H541" s="1"/>
      <c r="I541" s="1"/>
      <c r="K541" s="1"/>
      <c r="L541" s="1"/>
      <c r="N541" s="1"/>
      <c r="O541" s="1"/>
      <c r="P541" s="1"/>
      <c r="Q541" s="1"/>
      <c r="R541" s="1"/>
      <c r="S541" s="1"/>
      <c r="X541" s="1"/>
      <c r="AC541" s="1"/>
    </row>
    <row r="542" customFormat="false" ht="12.8" hidden="false" customHeight="false" outlineLevel="0" collapsed="false">
      <c r="A542" s="3"/>
      <c r="B542" s="1"/>
      <c r="C542" s="1"/>
      <c r="D542" s="1"/>
      <c r="E542" s="1"/>
      <c r="G542" s="1"/>
      <c r="H542" s="1"/>
      <c r="I542" s="1"/>
      <c r="K542" s="1"/>
      <c r="L542" s="1"/>
      <c r="N542" s="1"/>
      <c r="O542" s="1"/>
      <c r="P542" s="1"/>
      <c r="Q542" s="1"/>
      <c r="R542" s="1"/>
      <c r="S542" s="1"/>
      <c r="X542" s="1"/>
      <c r="AC542" s="1"/>
    </row>
    <row r="543" customFormat="false" ht="12.8" hidden="false" customHeight="false" outlineLevel="0" collapsed="false">
      <c r="A543" s="3"/>
      <c r="B543" s="1"/>
      <c r="C543" s="1"/>
      <c r="D543" s="1"/>
      <c r="E543" s="1"/>
      <c r="G543" s="1"/>
      <c r="H543" s="1"/>
      <c r="I543" s="1"/>
      <c r="K543" s="1"/>
      <c r="L543" s="1"/>
      <c r="N543" s="1"/>
      <c r="O543" s="1"/>
      <c r="P543" s="1"/>
      <c r="Q543" s="1"/>
      <c r="R543" s="1"/>
      <c r="S543" s="1"/>
      <c r="X543" s="1"/>
      <c r="AC543" s="1"/>
    </row>
    <row r="544" customFormat="false" ht="12.8" hidden="false" customHeight="false" outlineLevel="0" collapsed="false">
      <c r="A544" s="3"/>
      <c r="B544" s="1"/>
      <c r="C544" s="1"/>
      <c r="D544" s="1"/>
      <c r="E544" s="1"/>
      <c r="G544" s="1"/>
      <c r="H544" s="1"/>
      <c r="I544" s="1"/>
      <c r="K544" s="1"/>
      <c r="L544" s="1"/>
      <c r="N544" s="1"/>
      <c r="O544" s="1"/>
      <c r="P544" s="1"/>
      <c r="Q544" s="1"/>
      <c r="R544" s="1"/>
      <c r="S544" s="1"/>
      <c r="X544" s="1"/>
      <c r="AC544" s="1"/>
    </row>
    <row r="545" customFormat="false" ht="12.8" hidden="false" customHeight="false" outlineLevel="0" collapsed="false">
      <c r="A545" s="3"/>
      <c r="B545" s="1"/>
      <c r="C545" s="1"/>
      <c r="D545" s="1"/>
      <c r="E545" s="1"/>
      <c r="G545" s="1"/>
      <c r="H545" s="1"/>
      <c r="I545" s="1"/>
      <c r="K545" s="1"/>
      <c r="L545" s="1"/>
      <c r="N545" s="1"/>
      <c r="O545" s="1"/>
      <c r="P545" s="1"/>
      <c r="Q545" s="1"/>
      <c r="R545" s="1"/>
      <c r="S545" s="1"/>
      <c r="X545" s="1"/>
      <c r="AC545" s="1"/>
    </row>
    <row r="546" customFormat="false" ht="12.8" hidden="false" customHeight="false" outlineLevel="0" collapsed="false">
      <c r="A546" s="3"/>
      <c r="B546" s="1"/>
      <c r="C546" s="1"/>
      <c r="D546" s="1"/>
      <c r="E546" s="1"/>
      <c r="G546" s="1"/>
      <c r="H546" s="1"/>
      <c r="I546" s="1"/>
      <c r="K546" s="1"/>
      <c r="L546" s="1"/>
      <c r="N546" s="1"/>
      <c r="O546" s="1"/>
      <c r="P546" s="1"/>
      <c r="Q546" s="1"/>
      <c r="R546" s="1"/>
      <c r="S546" s="1"/>
      <c r="X546" s="1"/>
      <c r="AC546" s="1"/>
    </row>
    <row r="547" customFormat="false" ht="12.8" hidden="false" customHeight="false" outlineLevel="0" collapsed="false">
      <c r="A547" s="3"/>
      <c r="B547" s="1"/>
      <c r="C547" s="1"/>
      <c r="D547" s="1"/>
      <c r="E547" s="1"/>
      <c r="G547" s="1"/>
      <c r="H547" s="1"/>
      <c r="I547" s="1"/>
      <c r="K547" s="1"/>
      <c r="L547" s="1"/>
      <c r="N547" s="1"/>
      <c r="O547" s="1"/>
      <c r="P547" s="1"/>
      <c r="Q547" s="1"/>
      <c r="R547" s="1"/>
      <c r="S547" s="1"/>
      <c r="X547" s="1"/>
      <c r="AC547" s="1"/>
    </row>
    <row r="548" customFormat="false" ht="12.8" hidden="false" customHeight="false" outlineLevel="0" collapsed="false">
      <c r="A548" s="3"/>
      <c r="B548" s="1"/>
      <c r="C548" s="1"/>
      <c r="D548" s="1"/>
      <c r="E548" s="1"/>
      <c r="G548" s="1"/>
      <c r="H548" s="1"/>
      <c r="I548" s="1"/>
      <c r="K548" s="1"/>
      <c r="L548" s="1"/>
      <c r="N548" s="1"/>
      <c r="O548" s="1"/>
      <c r="P548" s="1"/>
      <c r="Q548" s="1"/>
      <c r="R548" s="1"/>
      <c r="S548" s="1"/>
      <c r="X548" s="1"/>
      <c r="AC548" s="1"/>
    </row>
    <row r="549" customFormat="false" ht="12.8" hidden="false" customHeight="false" outlineLevel="0" collapsed="false">
      <c r="A549" s="3"/>
      <c r="B549" s="1"/>
      <c r="C549" s="1"/>
      <c r="D549" s="1"/>
      <c r="E549" s="1"/>
      <c r="G549" s="1"/>
      <c r="H549" s="1"/>
      <c r="I549" s="1"/>
      <c r="K549" s="1"/>
      <c r="L549" s="1"/>
      <c r="N549" s="1"/>
      <c r="O549" s="1"/>
      <c r="P549" s="1"/>
      <c r="Q549" s="1"/>
      <c r="R549" s="1"/>
      <c r="S549" s="1"/>
      <c r="X549" s="1"/>
      <c r="AC549" s="1"/>
    </row>
    <row r="550" customFormat="false" ht="12.8" hidden="false" customHeight="false" outlineLevel="0" collapsed="false">
      <c r="A550" s="3"/>
      <c r="B550" s="1"/>
      <c r="C550" s="1"/>
      <c r="D550" s="1"/>
      <c r="E550" s="1"/>
      <c r="G550" s="1"/>
      <c r="H550" s="1"/>
      <c r="I550" s="1"/>
      <c r="K550" s="1"/>
      <c r="L550" s="1"/>
      <c r="N550" s="1"/>
      <c r="O550" s="1"/>
      <c r="P550" s="1"/>
      <c r="Q550" s="1"/>
      <c r="R550" s="1"/>
      <c r="S550" s="1"/>
      <c r="X550" s="1"/>
      <c r="AC550" s="1"/>
    </row>
    <row r="551" customFormat="false" ht="12.8" hidden="false" customHeight="false" outlineLevel="0" collapsed="false">
      <c r="A551" s="3"/>
      <c r="B551" s="1"/>
      <c r="C551" s="1"/>
      <c r="D551" s="1"/>
      <c r="E551" s="1"/>
      <c r="G551" s="1"/>
      <c r="H551" s="1"/>
      <c r="I551" s="1"/>
      <c r="K551" s="1"/>
      <c r="L551" s="1"/>
      <c r="N551" s="1"/>
      <c r="O551" s="1"/>
      <c r="P551" s="1"/>
      <c r="Q551" s="1"/>
      <c r="R551" s="1"/>
      <c r="S551" s="1"/>
      <c r="X551" s="1"/>
      <c r="AC551" s="1"/>
    </row>
    <row r="552" customFormat="false" ht="12.8" hidden="false" customHeight="false" outlineLevel="0" collapsed="false">
      <c r="A552" s="3"/>
      <c r="B552" s="1"/>
      <c r="C552" s="1"/>
      <c r="D552" s="1"/>
      <c r="E552" s="1"/>
      <c r="G552" s="1"/>
      <c r="H552" s="1"/>
      <c r="I552" s="1"/>
      <c r="K552" s="1"/>
      <c r="L552" s="1"/>
      <c r="N552" s="1"/>
      <c r="O552" s="1"/>
      <c r="P552" s="1"/>
      <c r="Q552" s="1"/>
      <c r="R552" s="1"/>
      <c r="S552" s="1"/>
      <c r="X552" s="1"/>
      <c r="AC552" s="1"/>
    </row>
    <row r="553" customFormat="false" ht="12.8" hidden="false" customHeight="false" outlineLevel="0" collapsed="false">
      <c r="A553" s="3"/>
      <c r="B553" s="1"/>
      <c r="C553" s="1"/>
      <c r="D553" s="1"/>
      <c r="E553" s="1"/>
      <c r="G553" s="1"/>
      <c r="H553" s="1"/>
      <c r="I553" s="1"/>
      <c r="K553" s="1"/>
      <c r="L553" s="1"/>
      <c r="N553" s="1"/>
      <c r="O553" s="1"/>
      <c r="P553" s="1"/>
      <c r="Q553" s="1"/>
      <c r="R553" s="1"/>
      <c r="S553" s="1"/>
      <c r="X553" s="1"/>
      <c r="AC553" s="1"/>
    </row>
    <row r="554" customFormat="false" ht="12.8" hidden="false" customHeight="false" outlineLevel="0" collapsed="false">
      <c r="A554" s="3"/>
      <c r="B554" s="1"/>
      <c r="C554" s="1"/>
      <c r="D554" s="1"/>
      <c r="E554" s="1"/>
      <c r="G554" s="1"/>
      <c r="H554" s="1"/>
      <c r="I554" s="1"/>
      <c r="K554" s="1"/>
      <c r="L554" s="1"/>
      <c r="N554" s="1"/>
      <c r="O554" s="1"/>
      <c r="P554" s="1"/>
      <c r="Q554" s="1"/>
      <c r="R554" s="1"/>
      <c r="S554" s="1"/>
      <c r="X554" s="1"/>
      <c r="AC554" s="1"/>
    </row>
    <row r="555" customFormat="false" ht="12.8" hidden="false" customHeight="false" outlineLevel="0" collapsed="false">
      <c r="A555" s="3"/>
      <c r="B555" s="1"/>
      <c r="C555" s="1"/>
      <c r="D555" s="1"/>
      <c r="E555" s="1"/>
      <c r="G555" s="1"/>
      <c r="H555" s="1"/>
      <c r="I555" s="1"/>
      <c r="K555" s="1"/>
      <c r="L555" s="1"/>
      <c r="N555" s="1"/>
      <c r="O555" s="1"/>
      <c r="P555" s="1"/>
      <c r="Q555" s="1"/>
      <c r="R555" s="1"/>
      <c r="S555" s="1"/>
      <c r="X555" s="1"/>
      <c r="AC555" s="1"/>
    </row>
    <row r="556" customFormat="false" ht="12.8" hidden="false" customHeight="false" outlineLevel="0" collapsed="false">
      <c r="A556" s="3"/>
      <c r="B556" s="1"/>
      <c r="C556" s="1"/>
      <c r="D556" s="1"/>
      <c r="E556" s="1"/>
      <c r="G556" s="1"/>
      <c r="H556" s="1"/>
      <c r="I556" s="1"/>
      <c r="K556" s="1"/>
      <c r="L556" s="1"/>
      <c r="N556" s="1"/>
      <c r="O556" s="1"/>
      <c r="P556" s="1"/>
      <c r="Q556" s="1"/>
      <c r="R556" s="1"/>
      <c r="S556" s="1"/>
      <c r="X556" s="1"/>
      <c r="AC556" s="1"/>
    </row>
    <row r="557" customFormat="false" ht="12.8" hidden="false" customHeight="false" outlineLevel="0" collapsed="false">
      <c r="A557" s="3"/>
      <c r="B557" s="1"/>
      <c r="C557" s="1"/>
      <c r="D557" s="1"/>
      <c r="E557" s="1"/>
      <c r="F557" s="1"/>
      <c r="G557" s="1"/>
      <c r="H557" s="1"/>
      <c r="I557" s="1"/>
      <c r="K557" s="1"/>
      <c r="L557" s="1"/>
      <c r="O557" s="1"/>
      <c r="P557" s="1"/>
      <c r="R557" s="1"/>
      <c r="S557" s="1"/>
      <c r="X557" s="1"/>
      <c r="AC557" s="1"/>
    </row>
    <row r="558" customFormat="false" ht="12.8" hidden="false" customHeight="false" outlineLevel="0" collapsed="false">
      <c r="A558" s="3"/>
      <c r="B558" s="1"/>
      <c r="C558" s="1"/>
      <c r="D558" s="1"/>
      <c r="E558" s="1"/>
      <c r="F558" s="1"/>
      <c r="G558" s="1"/>
      <c r="H558" s="1"/>
      <c r="I558" s="1"/>
      <c r="K558" s="1"/>
      <c r="L558" s="1"/>
      <c r="N558" s="1"/>
      <c r="O558" s="1"/>
      <c r="P558" s="1"/>
      <c r="R558" s="1"/>
      <c r="S558" s="1"/>
      <c r="X558" s="1"/>
      <c r="AC558" s="1"/>
    </row>
    <row r="559" customFormat="false" ht="12.8" hidden="false" customHeight="false" outlineLevel="0" collapsed="false">
      <c r="A559" s="3"/>
      <c r="B559" s="1"/>
      <c r="C559" s="1"/>
      <c r="D559" s="1"/>
      <c r="E559" s="1"/>
      <c r="F559" s="1"/>
      <c r="G559" s="1"/>
      <c r="H559" s="1"/>
      <c r="I559" s="1"/>
      <c r="K559" s="1"/>
      <c r="L559" s="1"/>
      <c r="N559" s="1"/>
      <c r="O559" s="1"/>
      <c r="P559" s="1"/>
      <c r="R559" s="1"/>
      <c r="S559" s="1"/>
      <c r="X559" s="1"/>
      <c r="AC559" s="1"/>
    </row>
    <row r="560" customFormat="false" ht="12.8" hidden="false" customHeight="false" outlineLevel="0" collapsed="false">
      <c r="A560" s="3"/>
      <c r="B560" s="1"/>
      <c r="C560" s="1"/>
      <c r="D560" s="1"/>
      <c r="E560" s="1"/>
      <c r="F560" s="1"/>
      <c r="G560" s="1"/>
      <c r="H560" s="1"/>
      <c r="I560" s="1"/>
      <c r="K560" s="1"/>
      <c r="L560" s="1"/>
      <c r="N560" s="1"/>
      <c r="O560" s="1"/>
      <c r="P560" s="1"/>
      <c r="R560" s="1"/>
      <c r="S560" s="1"/>
      <c r="X560" s="1"/>
      <c r="AC560" s="1"/>
    </row>
    <row r="561" customFormat="false" ht="12.8" hidden="false" customHeight="false" outlineLevel="0" collapsed="false">
      <c r="A561" s="3"/>
      <c r="B561" s="1"/>
      <c r="C561" s="1"/>
      <c r="D561" s="1"/>
      <c r="E561" s="1"/>
      <c r="F561" s="1"/>
      <c r="G561" s="1"/>
      <c r="H561" s="1"/>
      <c r="I561" s="1"/>
      <c r="K561" s="1"/>
      <c r="L561" s="1"/>
      <c r="N561" s="1"/>
      <c r="O561" s="1"/>
      <c r="P561" s="1"/>
      <c r="R561" s="1"/>
      <c r="S561" s="1"/>
      <c r="X561" s="1"/>
      <c r="AC561" s="1"/>
    </row>
    <row r="562" customFormat="false" ht="12.8" hidden="false" customHeight="false" outlineLevel="0" collapsed="false">
      <c r="A562" s="3"/>
      <c r="B562" s="1"/>
      <c r="C562" s="1"/>
      <c r="D562" s="1"/>
      <c r="E562" s="1"/>
      <c r="F562" s="1"/>
      <c r="G562" s="1"/>
      <c r="H562" s="1"/>
      <c r="I562" s="1"/>
      <c r="K562" s="1"/>
      <c r="L562" s="1"/>
      <c r="N562" s="1"/>
      <c r="O562" s="1"/>
      <c r="P562" s="1"/>
      <c r="R562" s="1"/>
      <c r="S562" s="1"/>
      <c r="X562" s="1"/>
      <c r="AC562" s="1"/>
    </row>
    <row r="563" customFormat="false" ht="12.8" hidden="false" customHeight="false" outlineLevel="0" collapsed="false">
      <c r="A563" s="3"/>
      <c r="B563" s="1"/>
      <c r="C563" s="1"/>
      <c r="D563" s="1"/>
      <c r="E563" s="1"/>
      <c r="F563" s="1"/>
      <c r="G563" s="1"/>
      <c r="H563" s="1"/>
      <c r="I563" s="1"/>
      <c r="K563" s="1"/>
      <c r="L563" s="1"/>
      <c r="N563" s="1"/>
      <c r="O563" s="1"/>
      <c r="P563" s="1"/>
      <c r="R563" s="1"/>
      <c r="S563" s="1"/>
      <c r="X563" s="1"/>
      <c r="AC563" s="1"/>
    </row>
    <row r="564" customFormat="false" ht="12.8" hidden="false" customHeight="false" outlineLevel="0" collapsed="false">
      <c r="A564" s="3"/>
      <c r="B564" s="1"/>
      <c r="C564" s="1"/>
      <c r="D564" s="1"/>
      <c r="E564" s="1"/>
      <c r="F564" s="1"/>
      <c r="G564" s="1"/>
      <c r="H564" s="1"/>
      <c r="I564" s="1"/>
      <c r="K564" s="1"/>
      <c r="L564" s="1"/>
      <c r="N564" s="1"/>
      <c r="O564" s="1"/>
      <c r="P564" s="1"/>
      <c r="R564" s="1"/>
      <c r="S564" s="1"/>
      <c r="X564" s="1"/>
      <c r="AC564" s="1"/>
    </row>
    <row r="565" customFormat="false" ht="12.8" hidden="false" customHeight="false" outlineLevel="0" collapsed="false">
      <c r="A565" s="3"/>
      <c r="B565" s="1"/>
      <c r="C565" s="1"/>
      <c r="D565" s="1"/>
      <c r="E565" s="1"/>
      <c r="F565" s="1"/>
      <c r="G565" s="1"/>
      <c r="H565" s="1"/>
      <c r="I565" s="1"/>
      <c r="K565" s="1"/>
      <c r="L565" s="1"/>
      <c r="O565" s="1"/>
      <c r="P565" s="1"/>
      <c r="R565" s="1"/>
      <c r="S565" s="1"/>
      <c r="X565" s="1"/>
      <c r="AC565" s="1"/>
    </row>
    <row r="566" customFormat="false" ht="12.8" hidden="false" customHeight="false" outlineLevel="0" collapsed="false">
      <c r="A566" s="3"/>
      <c r="B566" s="1"/>
      <c r="C566" s="1"/>
      <c r="D566" s="1"/>
      <c r="E566" s="1"/>
      <c r="F566" s="1"/>
      <c r="G566" s="1"/>
      <c r="H566" s="1"/>
      <c r="I566" s="1"/>
      <c r="K566" s="1"/>
      <c r="L566" s="1"/>
      <c r="N566" s="1"/>
      <c r="O566" s="1"/>
      <c r="P566" s="1"/>
      <c r="Q566" s="1"/>
      <c r="R566" s="1"/>
      <c r="S566" s="1"/>
      <c r="X566" s="1"/>
      <c r="AC566" s="1"/>
    </row>
    <row r="567" customFormat="false" ht="12.8" hidden="false" customHeight="false" outlineLevel="0" collapsed="false">
      <c r="A567" s="3"/>
      <c r="B567" s="1"/>
      <c r="C567" s="1"/>
      <c r="D567" s="1"/>
      <c r="E567" s="1"/>
      <c r="F567" s="1"/>
      <c r="G567" s="1"/>
      <c r="H567" s="1"/>
      <c r="I567" s="1"/>
      <c r="K567" s="1"/>
      <c r="L567" s="1"/>
      <c r="N567" s="1"/>
      <c r="O567" s="1"/>
      <c r="P567" s="1"/>
      <c r="R567" s="1"/>
      <c r="S567" s="1"/>
      <c r="X567" s="1"/>
      <c r="AC567" s="1"/>
    </row>
    <row r="568" customFormat="false" ht="12.8" hidden="false" customHeight="false" outlineLevel="0" collapsed="false">
      <c r="A568" s="3"/>
      <c r="B568" s="1"/>
      <c r="C568" s="1"/>
      <c r="D568" s="1"/>
      <c r="E568" s="1"/>
      <c r="F568" s="1"/>
      <c r="G568" s="1"/>
      <c r="H568" s="1"/>
      <c r="I568" s="1"/>
      <c r="K568" s="1"/>
      <c r="L568" s="1"/>
      <c r="N568" s="1"/>
      <c r="O568" s="1"/>
      <c r="P568" s="1"/>
      <c r="R568" s="1"/>
      <c r="S568" s="1"/>
      <c r="X568" s="1"/>
      <c r="AC568" s="1"/>
    </row>
    <row r="569" customFormat="false" ht="12.8" hidden="false" customHeight="false" outlineLevel="0" collapsed="false">
      <c r="A569" s="3"/>
      <c r="B569" s="1"/>
      <c r="C569" s="1"/>
      <c r="D569" s="1"/>
      <c r="E569" s="1"/>
      <c r="F569" s="1"/>
      <c r="G569" s="1"/>
      <c r="H569" s="1"/>
      <c r="I569" s="1"/>
      <c r="K569" s="1"/>
      <c r="L569" s="1"/>
      <c r="N569" s="1"/>
      <c r="O569" s="1"/>
      <c r="P569" s="1"/>
      <c r="R569" s="1"/>
      <c r="S569" s="1"/>
      <c r="X569" s="1"/>
      <c r="AC569" s="1"/>
    </row>
    <row r="570" customFormat="false" ht="12.8" hidden="false" customHeight="false" outlineLevel="0" collapsed="false">
      <c r="A570" s="3"/>
      <c r="B570" s="1"/>
      <c r="C570" s="1"/>
      <c r="D570" s="1"/>
      <c r="E570" s="1"/>
      <c r="F570" s="1"/>
      <c r="G570" s="1"/>
      <c r="H570" s="1"/>
      <c r="I570" s="1"/>
      <c r="K570" s="1"/>
      <c r="L570" s="1"/>
      <c r="N570" s="1"/>
      <c r="O570" s="1"/>
      <c r="P570" s="1"/>
      <c r="R570" s="1"/>
      <c r="S570" s="1"/>
      <c r="X570" s="1"/>
      <c r="AC570" s="1"/>
    </row>
    <row r="571" customFormat="false" ht="12.8" hidden="false" customHeight="false" outlineLevel="0" collapsed="false">
      <c r="A571" s="3"/>
      <c r="B571" s="1"/>
      <c r="C571" s="1"/>
      <c r="D571" s="1"/>
      <c r="E571" s="1"/>
      <c r="F571" s="1"/>
      <c r="G571" s="1"/>
      <c r="H571" s="1"/>
      <c r="I571" s="1"/>
      <c r="K571" s="1"/>
      <c r="L571" s="1"/>
      <c r="N571" s="1"/>
      <c r="O571" s="1"/>
      <c r="P571" s="1"/>
      <c r="R571" s="1"/>
      <c r="S571" s="1"/>
      <c r="X571" s="1"/>
      <c r="AC571" s="1"/>
    </row>
    <row r="572" customFormat="false" ht="12.8" hidden="false" customHeight="false" outlineLevel="0" collapsed="false">
      <c r="A572" s="3"/>
      <c r="B572" s="1"/>
      <c r="C572" s="1"/>
      <c r="D572" s="1"/>
      <c r="E572" s="1"/>
      <c r="F572" s="1"/>
      <c r="G572" s="1"/>
      <c r="H572" s="1"/>
      <c r="I572" s="1"/>
      <c r="K572" s="1"/>
      <c r="L572" s="1"/>
      <c r="N572" s="1"/>
      <c r="O572" s="1"/>
      <c r="P572" s="1"/>
      <c r="R572" s="1"/>
      <c r="S572" s="1"/>
      <c r="X572" s="1"/>
      <c r="AC572" s="1"/>
    </row>
    <row r="573" customFormat="false" ht="12.8" hidden="false" customHeight="false" outlineLevel="0" collapsed="false">
      <c r="A573" s="3"/>
      <c r="B573" s="1"/>
      <c r="C573" s="1"/>
      <c r="D573" s="1"/>
      <c r="E573" s="1"/>
      <c r="F573" s="1"/>
      <c r="G573" s="1"/>
      <c r="H573" s="1"/>
      <c r="I573" s="1"/>
      <c r="K573" s="1"/>
      <c r="L573" s="1"/>
      <c r="N573" s="1"/>
      <c r="O573" s="1"/>
      <c r="P573" s="1"/>
      <c r="R573" s="1"/>
      <c r="S573" s="1"/>
      <c r="X573" s="1"/>
      <c r="AC573" s="1"/>
    </row>
    <row r="574" customFormat="false" ht="12.8" hidden="false" customHeight="false" outlineLevel="0" collapsed="false">
      <c r="A574" s="3"/>
      <c r="B574" s="1"/>
      <c r="C574" s="1"/>
      <c r="D574" s="1"/>
      <c r="E574" s="1"/>
      <c r="F574" s="1"/>
      <c r="G574" s="1"/>
      <c r="H574" s="1"/>
      <c r="I574" s="1"/>
      <c r="K574" s="1"/>
      <c r="L574" s="1"/>
      <c r="N574" s="1"/>
      <c r="O574" s="1"/>
      <c r="P574" s="1"/>
      <c r="R574" s="1"/>
      <c r="S574" s="1"/>
      <c r="X574" s="1"/>
      <c r="AC574" s="1"/>
    </row>
    <row r="575" customFormat="false" ht="12.8" hidden="false" customHeight="false" outlineLevel="0" collapsed="false">
      <c r="A575" s="3"/>
      <c r="B575" s="1"/>
      <c r="C575" s="1"/>
      <c r="D575" s="1"/>
      <c r="E575" s="1"/>
      <c r="F575" s="1"/>
      <c r="G575" s="1"/>
      <c r="H575" s="1"/>
      <c r="I575" s="1"/>
      <c r="K575" s="1"/>
      <c r="L575" s="1"/>
      <c r="O575" s="1"/>
      <c r="P575" s="1"/>
      <c r="R575" s="1"/>
      <c r="S575" s="1"/>
      <c r="X575" s="1"/>
      <c r="AC575" s="1"/>
    </row>
    <row r="576" customFormat="false" ht="12.8" hidden="false" customHeight="false" outlineLevel="0" collapsed="false">
      <c r="A576" s="3"/>
      <c r="B576" s="1"/>
      <c r="C576" s="1"/>
      <c r="D576" s="1"/>
      <c r="E576" s="1"/>
      <c r="F576" s="1"/>
      <c r="G576" s="1"/>
      <c r="H576" s="1"/>
      <c r="I576" s="1"/>
      <c r="K576" s="1"/>
      <c r="L576" s="1"/>
      <c r="N576" s="1"/>
      <c r="O576" s="1"/>
      <c r="P576" s="1"/>
      <c r="R576" s="1"/>
      <c r="S576" s="1"/>
      <c r="X576" s="1"/>
      <c r="AC576" s="1"/>
    </row>
    <row r="577" customFormat="false" ht="12.8" hidden="false" customHeight="false" outlineLevel="0" collapsed="false">
      <c r="A577" s="3"/>
      <c r="B577" s="1"/>
      <c r="C577" s="1"/>
      <c r="D577" s="1"/>
      <c r="E577" s="1"/>
      <c r="F577" s="1"/>
      <c r="G577" s="1"/>
      <c r="H577" s="1"/>
      <c r="I577" s="1"/>
      <c r="K577" s="1"/>
      <c r="L577" s="1"/>
      <c r="N577" s="1"/>
      <c r="O577" s="1"/>
      <c r="P577" s="1"/>
      <c r="R577" s="1"/>
      <c r="S577" s="1"/>
      <c r="X577" s="1"/>
      <c r="AC577" s="1"/>
    </row>
    <row r="578" customFormat="false" ht="12.8" hidden="false" customHeight="false" outlineLevel="0" collapsed="false">
      <c r="A578" s="3"/>
      <c r="B578" s="1"/>
      <c r="C578" s="1"/>
      <c r="D578" s="1"/>
      <c r="E578" s="1"/>
      <c r="F578" s="1"/>
      <c r="G578" s="1"/>
      <c r="H578" s="1"/>
      <c r="I578" s="1"/>
      <c r="K578" s="1"/>
      <c r="L578" s="1"/>
      <c r="N578" s="1"/>
      <c r="O578" s="1"/>
      <c r="P578" s="1"/>
      <c r="R578" s="1"/>
      <c r="S578" s="1"/>
      <c r="X578" s="1"/>
      <c r="AC578" s="1"/>
    </row>
    <row r="579" customFormat="false" ht="12.8" hidden="false" customHeight="false" outlineLevel="0" collapsed="false">
      <c r="A579" s="3"/>
      <c r="B579" s="1"/>
      <c r="C579" s="1"/>
      <c r="D579" s="1"/>
      <c r="E579" s="1"/>
      <c r="F579" s="1"/>
      <c r="G579" s="1"/>
      <c r="H579" s="1"/>
      <c r="I579" s="1"/>
      <c r="K579" s="1"/>
      <c r="L579" s="1"/>
      <c r="O579" s="1"/>
      <c r="P579" s="1"/>
      <c r="R579" s="1"/>
      <c r="S579" s="1"/>
      <c r="X579" s="1"/>
      <c r="AC579" s="1"/>
    </row>
    <row r="580" customFormat="false" ht="12.8" hidden="false" customHeight="false" outlineLevel="0" collapsed="false">
      <c r="A580" s="3"/>
      <c r="B580" s="1"/>
      <c r="C580" s="1"/>
      <c r="D580" s="1"/>
      <c r="E580" s="1"/>
      <c r="F580" s="1"/>
      <c r="G580" s="1"/>
      <c r="H580" s="1"/>
      <c r="I580" s="1"/>
      <c r="K580" s="1"/>
      <c r="L580" s="1"/>
      <c r="N580" s="1"/>
      <c r="O580" s="1"/>
      <c r="P580" s="1"/>
      <c r="R580" s="1"/>
      <c r="S580" s="1"/>
      <c r="X580" s="1"/>
      <c r="Y580" s="1"/>
      <c r="AC580" s="1"/>
    </row>
    <row r="581" customFormat="false" ht="12.8" hidden="false" customHeight="false" outlineLevel="0" collapsed="false">
      <c r="A581" s="3"/>
      <c r="B581" s="1"/>
      <c r="C581" s="1"/>
      <c r="D581" s="1"/>
      <c r="E581" s="1"/>
      <c r="F581" s="1"/>
      <c r="G581" s="1"/>
      <c r="H581" s="1"/>
      <c r="I581" s="1"/>
      <c r="K581" s="1"/>
      <c r="L581" s="1"/>
      <c r="N581" s="1"/>
      <c r="O581" s="1"/>
      <c r="P581" s="1"/>
      <c r="R581" s="1"/>
      <c r="S581" s="1"/>
      <c r="X581" s="1"/>
      <c r="Y581" s="1"/>
      <c r="AC581" s="1"/>
    </row>
    <row r="582" customFormat="false" ht="12.8" hidden="false" customHeight="false" outlineLevel="0" collapsed="false">
      <c r="A582" s="3"/>
      <c r="B582" s="1"/>
      <c r="C582" s="1"/>
      <c r="D582" s="1"/>
      <c r="E582" s="1"/>
      <c r="F582" s="1"/>
      <c r="G582" s="1"/>
      <c r="H582" s="1"/>
      <c r="I582" s="1"/>
      <c r="K582" s="1"/>
      <c r="L582" s="1"/>
      <c r="N582" s="1"/>
      <c r="O582" s="1"/>
      <c r="P582" s="1"/>
      <c r="R582" s="1"/>
      <c r="S582" s="1"/>
      <c r="X582" s="1"/>
      <c r="Y582" s="1"/>
      <c r="AC582" s="1"/>
    </row>
    <row r="583" customFormat="false" ht="12.8" hidden="false" customHeight="false" outlineLevel="0" collapsed="false">
      <c r="A583" s="3"/>
      <c r="B583" s="1"/>
      <c r="C583" s="1"/>
      <c r="D583" s="1"/>
      <c r="E583" s="1"/>
      <c r="F583" s="1"/>
      <c r="G583" s="1"/>
      <c r="H583" s="1"/>
      <c r="I583" s="1"/>
      <c r="K583" s="1"/>
      <c r="L583" s="1"/>
      <c r="N583" s="1"/>
      <c r="O583" s="1"/>
      <c r="P583" s="1"/>
      <c r="R583" s="1"/>
      <c r="S583" s="1"/>
      <c r="X583" s="1"/>
      <c r="Y583" s="1"/>
      <c r="AC583" s="1"/>
    </row>
    <row r="584" customFormat="false" ht="12.8" hidden="false" customHeight="false" outlineLevel="0" collapsed="false">
      <c r="A584" s="3"/>
      <c r="B584" s="1"/>
      <c r="C584" s="1"/>
      <c r="D584" s="1"/>
      <c r="E584" s="1"/>
      <c r="F584" s="1"/>
      <c r="G584" s="1"/>
      <c r="H584" s="1"/>
      <c r="I584" s="1"/>
      <c r="K584" s="1"/>
      <c r="L584" s="1"/>
      <c r="N584" s="1"/>
      <c r="O584" s="1"/>
      <c r="P584" s="1"/>
      <c r="R584" s="1"/>
      <c r="S584" s="1"/>
      <c r="X584" s="1"/>
      <c r="Y584" s="1"/>
      <c r="AC584" s="1"/>
    </row>
    <row r="585" customFormat="false" ht="12.8" hidden="false" customHeight="false" outlineLevel="0" collapsed="false">
      <c r="A585" s="3"/>
      <c r="B585" s="1"/>
      <c r="C585" s="1"/>
      <c r="D585" s="1"/>
      <c r="E585" s="1"/>
      <c r="F585" s="1"/>
      <c r="G585" s="1"/>
      <c r="H585" s="1"/>
      <c r="I585" s="1"/>
      <c r="K585" s="1"/>
      <c r="L585" s="1"/>
      <c r="N585" s="1"/>
      <c r="O585" s="1"/>
      <c r="P585" s="1"/>
      <c r="R585" s="1"/>
      <c r="S585" s="1"/>
      <c r="X585" s="1"/>
      <c r="Y585" s="1"/>
      <c r="AC585" s="1"/>
    </row>
    <row r="586" customFormat="false" ht="12.8" hidden="false" customHeight="false" outlineLevel="0" collapsed="false">
      <c r="A586" s="3"/>
      <c r="B586" s="1"/>
      <c r="C586" s="1"/>
      <c r="D586" s="1"/>
      <c r="E586" s="1"/>
      <c r="F586" s="1"/>
      <c r="G586" s="1"/>
      <c r="H586" s="1"/>
      <c r="I586" s="1"/>
      <c r="K586" s="1"/>
      <c r="L586" s="1"/>
      <c r="N586" s="1"/>
      <c r="O586" s="1"/>
      <c r="P586" s="1"/>
      <c r="R586" s="1"/>
      <c r="S586" s="1"/>
      <c r="X586" s="1"/>
      <c r="Y586" s="1"/>
      <c r="AC586" s="1"/>
    </row>
    <row r="587" customFormat="false" ht="12.8" hidden="false" customHeight="false" outlineLevel="0" collapsed="false">
      <c r="A587" s="3"/>
      <c r="B587" s="1"/>
      <c r="C587" s="1"/>
      <c r="D587" s="1"/>
      <c r="E587" s="1"/>
      <c r="F587" s="1"/>
      <c r="G587" s="1"/>
      <c r="H587" s="1"/>
      <c r="I587" s="1"/>
      <c r="K587" s="1"/>
      <c r="L587" s="1"/>
      <c r="N587" s="1"/>
      <c r="O587" s="1"/>
      <c r="P587" s="1"/>
      <c r="R587" s="1"/>
      <c r="S587" s="1"/>
      <c r="X587" s="1"/>
      <c r="Y587" s="1"/>
      <c r="AC587" s="1"/>
    </row>
    <row r="588" customFormat="false" ht="12.8" hidden="false" customHeight="false" outlineLevel="0" collapsed="false">
      <c r="A588" s="3"/>
      <c r="B588" s="1"/>
      <c r="C588" s="1"/>
      <c r="D588" s="1"/>
      <c r="E588" s="1"/>
      <c r="F588" s="1"/>
      <c r="G588" s="1"/>
      <c r="H588" s="1"/>
      <c r="I588" s="1"/>
      <c r="K588" s="1"/>
      <c r="L588" s="1"/>
      <c r="O588" s="1"/>
      <c r="P588" s="1"/>
      <c r="R588" s="1"/>
      <c r="S588" s="1"/>
      <c r="X588" s="1"/>
      <c r="Y588" s="1"/>
      <c r="AC588" s="1"/>
    </row>
    <row r="589" customFormat="false" ht="12.8" hidden="false" customHeight="false" outlineLevel="0" collapsed="false">
      <c r="A589" s="3"/>
      <c r="B589" s="1"/>
      <c r="C589" s="1"/>
      <c r="D589" s="1"/>
      <c r="E589" s="1"/>
      <c r="F589" s="1"/>
      <c r="G589" s="1"/>
      <c r="H589" s="1"/>
      <c r="I589" s="1"/>
      <c r="K589" s="1"/>
      <c r="L589" s="1"/>
      <c r="N589" s="1"/>
      <c r="O589" s="1"/>
      <c r="P589" s="1"/>
      <c r="R589" s="1"/>
      <c r="S589" s="1"/>
      <c r="X589" s="1"/>
      <c r="Y589" s="1"/>
      <c r="AC589" s="1"/>
    </row>
    <row r="590" customFormat="false" ht="12.8" hidden="false" customHeight="false" outlineLevel="0" collapsed="false">
      <c r="A590" s="3"/>
      <c r="B590" s="1"/>
      <c r="C590" s="1"/>
      <c r="D590" s="1"/>
      <c r="E590" s="1"/>
      <c r="F590" s="1"/>
      <c r="G590" s="1"/>
      <c r="H590" s="1"/>
      <c r="I590" s="1"/>
      <c r="K590" s="1"/>
      <c r="L590" s="1"/>
      <c r="N590" s="1"/>
      <c r="O590" s="1"/>
      <c r="P590" s="1"/>
      <c r="R590" s="1"/>
      <c r="S590" s="1"/>
      <c r="X590" s="1"/>
      <c r="Y590" s="1"/>
      <c r="AC590" s="1"/>
    </row>
    <row r="591" customFormat="false" ht="12.8" hidden="false" customHeight="false" outlineLevel="0" collapsed="false">
      <c r="A591" s="3"/>
      <c r="B591" s="1"/>
      <c r="C591" s="1"/>
      <c r="D591" s="1"/>
      <c r="E591" s="1"/>
      <c r="F591" s="1"/>
      <c r="G591" s="1"/>
      <c r="H591" s="1"/>
      <c r="I591" s="1"/>
      <c r="K591" s="1"/>
      <c r="L591" s="1"/>
      <c r="N591" s="1"/>
      <c r="O591" s="1"/>
      <c r="P591" s="1"/>
      <c r="R591" s="1"/>
      <c r="S591" s="1"/>
      <c r="X591" s="1"/>
      <c r="Y591" s="1"/>
      <c r="AC591" s="1"/>
    </row>
    <row r="592" customFormat="false" ht="12.8" hidden="false" customHeight="false" outlineLevel="0" collapsed="false">
      <c r="A592" s="3"/>
      <c r="B592" s="1"/>
      <c r="C592" s="1"/>
      <c r="D592" s="1"/>
      <c r="E592" s="1"/>
      <c r="F592" s="1"/>
      <c r="G592" s="1"/>
      <c r="H592" s="1"/>
      <c r="I592" s="1"/>
      <c r="K592" s="1"/>
      <c r="L592" s="1"/>
      <c r="O592" s="1"/>
      <c r="P592" s="1"/>
      <c r="R592" s="1"/>
      <c r="S592" s="1"/>
      <c r="X592" s="1"/>
      <c r="Y592" s="1"/>
      <c r="AC592" s="1"/>
    </row>
    <row r="593" customFormat="false" ht="12.8" hidden="false" customHeight="false" outlineLevel="0" collapsed="false">
      <c r="A593" s="3"/>
      <c r="B593" s="1"/>
      <c r="C593" s="1"/>
      <c r="D593" s="1"/>
      <c r="E593" s="1"/>
      <c r="F593" s="1"/>
      <c r="G593" s="1"/>
      <c r="H593" s="1"/>
      <c r="I593" s="1"/>
      <c r="K593" s="1"/>
      <c r="L593" s="1"/>
      <c r="N593" s="1"/>
      <c r="O593" s="1"/>
      <c r="P593" s="1"/>
      <c r="R593" s="1"/>
      <c r="S593" s="1"/>
      <c r="X593" s="1"/>
      <c r="Y593" s="1"/>
      <c r="AC593" s="1"/>
    </row>
    <row r="594" customFormat="false" ht="12.8" hidden="false" customHeight="false" outlineLevel="0" collapsed="false">
      <c r="A594" s="3"/>
      <c r="B594" s="1"/>
      <c r="C594" s="1"/>
      <c r="D594" s="1"/>
      <c r="E594" s="1"/>
      <c r="F594" s="1"/>
      <c r="G594" s="1"/>
      <c r="H594" s="1"/>
      <c r="I594" s="1"/>
      <c r="K594" s="1"/>
      <c r="L594" s="1"/>
      <c r="N594" s="1"/>
      <c r="O594" s="1"/>
      <c r="P594" s="1"/>
      <c r="R594" s="1"/>
      <c r="S594" s="1"/>
      <c r="X594" s="1"/>
      <c r="Y594" s="1"/>
      <c r="AC594" s="1"/>
    </row>
    <row r="595" customFormat="false" ht="12.8" hidden="false" customHeight="false" outlineLevel="0" collapsed="false">
      <c r="A595" s="3"/>
      <c r="B595" s="1"/>
      <c r="C595" s="1"/>
      <c r="D595" s="1"/>
      <c r="E595" s="1"/>
      <c r="F595" s="1"/>
      <c r="G595" s="1"/>
      <c r="H595" s="1"/>
      <c r="I595" s="1"/>
      <c r="K595" s="1"/>
      <c r="L595" s="1"/>
      <c r="O595" s="1"/>
      <c r="P595" s="1"/>
      <c r="Q595" s="1"/>
      <c r="R595" s="1"/>
      <c r="S595" s="1"/>
      <c r="X595" s="1"/>
      <c r="AC595" s="1"/>
    </row>
    <row r="596" customFormat="false" ht="12.8" hidden="false" customHeight="false" outlineLevel="0" collapsed="false">
      <c r="A596" s="3"/>
      <c r="B596" s="1"/>
      <c r="C596" s="1"/>
      <c r="D596" s="1"/>
      <c r="E596" s="1"/>
      <c r="F596" s="1"/>
      <c r="G596" s="1"/>
      <c r="H596" s="1"/>
      <c r="I596" s="1"/>
      <c r="K596" s="1"/>
      <c r="L596" s="1"/>
      <c r="O596" s="1"/>
      <c r="P596" s="1"/>
      <c r="Q596" s="1"/>
      <c r="R596" s="1"/>
      <c r="S596" s="1"/>
      <c r="X596" s="1"/>
      <c r="AC596" s="1"/>
    </row>
    <row r="597" customFormat="false" ht="12.8" hidden="false" customHeight="false" outlineLevel="0" collapsed="false">
      <c r="A597" s="3"/>
      <c r="B597" s="1"/>
      <c r="C597" s="1"/>
      <c r="D597" s="1"/>
      <c r="E597" s="1"/>
      <c r="F597" s="1"/>
      <c r="G597" s="1"/>
      <c r="H597" s="1"/>
      <c r="I597" s="1"/>
      <c r="K597" s="1"/>
      <c r="L597" s="1"/>
      <c r="O597" s="1"/>
      <c r="P597" s="1"/>
      <c r="Q597" s="1"/>
      <c r="R597" s="1"/>
      <c r="S597" s="1"/>
      <c r="X597" s="1"/>
      <c r="AC597" s="1"/>
    </row>
    <row r="598" customFormat="false" ht="12.8" hidden="false" customHeight="false" outlineLevel="0" collapsed="false">
      <c r="A598" s="3"/>
      <c r="B598" s="1"/>
      <c r="C598" s="1"/>
      <c r="D598" s="1"/>
      <c r="E598" s="1"/>
      <c r="F598" s="1"/>
      <c r="G598" s="1"/>
      <c r="H598" s="1"/>
      <c r="I598" s="1"/>
      <c r="K598" s="1"/>
      <c r="L598" s="1"/>
      <c r="O598" s="1"/>
      <c r="P598" s="1"/>
      <c r="Q598" s="1"/>
      <c r="R598" s="1"/>
      <c r="S598" s="1"/>
      <c r="X598" s="1"/>
      <c r="AC598" s="1"/>
    </row>
    <row r="599" customFormat="false" ht="12.8" hidden="false" customHeight="false" outlineLevel="0" collapsed="false">
      <c r="A599" s="3"/>
      <c r="B599" s="1"/>
      <c r="C599" s="1"/>
      <c r="D599" s="1"/>
      <c r="E599" s="1"/>
      <c r="F599" s="1"/>
      <c r="G599" s="1"/>
      <c r="H599" s="1"/>
      <c r="I599" s="1"/>
      <c r="K599" s="1"/>
      <c r="L599" s="1"/>
      <c r="O599" s="1"/>
      <c r="P599" s="1"/>
      <c r="Q599" s="1"/>
      <c r="R599" s="1"/>
      <c r="S599" s="1"/>
      <c r="X599" s="1"/>
      <c r="AC599" s="1"/>
    </row>
    <row r="600" customFormat="false" ht="12.8" hidden="false" customHeight="false" outlineLevel="0" collapsed="false">
      <c r="A600" s="3"/>
      <c r="B600" s="1"/>
      <c r="C600" s="1"/>
      <c r="D600" s="1"/>
      <c r="E600" s="1"/>
      <c r="F600" s="1"/>
      <c r="G600" s="1"/>
      <c r="H600" s="1"/>
      <c r="I600" s="1"/>
      <c r="K600" s="1"/>
      <c r="L600" s="1"/>
      <c r="O600" s="1"/>
      <c r="P600" s="1"/>
      <c r="Q600" s="1"/>
      <c r="R600" s="1"/>
      <c r="S600" s="1"/>
      <c r="X600" s="1"/>
      <c r="AC600" s="1"/>
    </row>
    <row r="601" customFormat="false" ht="12.8" hidden="false" customHeight="false" outlineLevel="0" collapsed="false">
      <c r="A601" s="3"/>
      <c r="B601" s="1"/>
      <c r="C601" s="1"/>
      <c r="D601" s="1"/>
      <c r="E601" s="1"/>
      <c r="F601" s="1"/>
      <c r="G601" s="1"/>
      <c r="H601" s="1"/>
      <c r="I601" s="1"/>
      <c r="K601" s="1"/>
      <c r="L601" s="1"/>
      <c r="O601" s="1"/>
      <c r="P601" s="1"/>
      <c r="Q601" s="1"/>
      <c r="R601" s="1"/>
      <c r="S601" s="1"/>
      <c r="X601" s="1"/>
      <c r="AC601" s="1"/>
    </row>
    <row r="602" customFormat="false" ht="12.8" hidden="false" customHeight="false" outlineLevel="0" collapsed="false">
      <c r="A602" s="3"/>
      <c r="B602" s="1"/>
      <c r="C602" s="1"/>
      <c r="D602" s="1"/>
      <c r="E602" s="1"/>
      <c r="F602" s="1"/>
      <c r="G602" s="1"/>
      <c r="H602" s="1"/>
      <c r="I602" s="1"/>
      <c r="K602" s="1"/>
      <c r="L602" s="1"/>
      <c r="O602" s="1"/>
      <c r="P602" s="1"/>
      <c r="Q602" s="1"/>
      <c r="R602" s="1"/>
      <c r="S602" s="1"/>
      <c r="X602" s="1"/>
      <c r="AC602" s="1"/>
    </row>
    <row r="603" customFormat="false" ht="12.8" hidden="false" customHeight="false" outlineLevel="0" collapsed="false">
      <c r="A603" s="3"/>
      <c r="B603" s="1"/>
      <c r="C603" s="1"/>
      <c r="D603" s="1"/>
      <c r="E603" s="1"/>
      <c r="F603" s="1"/>
      <c r="G603" s="1"/>
      <c r="H603" s="1"/>
      <c r="I603" s="1"/>
      <c r="K603" s="1"/>
      <c r="L603" s="1"/>
      <c r="O603" s="1"/>
      <c r="P603" s="1"/>
      <c r="Q603" s="1"/>
      <c r="R603" s="1"/>
      <c r="S603" s="1"/>
      <c r="X603" s="1"/>
      <c r="AC603" s="1"/>
    </row>
    <row r="604" customFormat="false" ht="12.8" hidden="false" customHeight="false" outlineLevel="0" collapsed="false">
      <c r="A604" s="3"/>
      <c r="B604" s="1"/>
      <c r="C604" s="1"/>
      <c r="D604" s="1"/>
      <c r="E604" s="1"/>
      <c r="F604" s="1"/>
      <c r="G604" s="1"/>
      <c r="H604" s="1"/>
      <c r="I604" s="1"/>
      <c r="K604" s="1"/>
      <c r="L604" s="1"/>
      <c r="O604" s="1"/>
      <c r="P604" s="1"/>
      <c r="Q604" s="1"/>
      <c r="R604" s="1"/>
      <c r="S604" s="1"/>
      <c r="X604" s="1"/>
      <c r="AC604" s="1"/>
    </row>
    <row r="605" customFormat="false" ht="12.8" hidden="false" customHeight="false" outlineLevel="0" collapsed="false">
      <c r="A605" s="3"/>
      <c r="B605" s="1"/>
      <c r="C605" s="1"/>
      <c r="D605" s="1"/>
      <c r="E605" s="1"/>
      <c r="F605" s="1"/>
      <c r="G605" s="1"/>
      <c r="H605" s="1"/>
      <c r="I605" s="1"/>
      <c r="K605" s="1"/>
      <c r="L605" s="1"/>
      <c r="O605" s="1"/>
      <c r="P605" s="1"/>
      <c r="Q605" s="1"/>
      <c r="R605" s="1"/>
      <c r="S605" s="1"/>
      <c r="X605" s="1"/>
      <c r="AC605" s="1"/>
    </row>
    <row r="606" customFormat="false" ht="12.8" hidden="false" customHeight="false" outlineLevel="0" collapsed="false">
      <c r="A606" s="3"/>
      <c r="B606" s="1"/>
      <c r="C606" s="1"/>
      <c r="D606" s="1"/>
      <c r="E606" s="1"/>
      <c r="F606" s="1"/>
      <c r="G606" s="1"/>
      <c r="H606" s="1"/>
      <c r="I606" s="1"/>
      <c r="K606" s="1"/>
      <c r="L606" s="1"/>
      <c r="O606" s="1"/>
      <c r="P606" s="1"/>
      <c r="Q606" s="1"/>
      <c r="R606" s="1"/>
      <c r="S606" s="1"/>
      <c r="X606" s="1"/>
      <c r="AC606" s="1"/>
    </row>
    <row r="607" customFormat="false" ht="12.8" hidden="false" customHeight="false" outlineLevel="0" collapsed="false">
      <c r="A607" s="3"/>
      <c r="B607" s="1"/>
      <c r="C607" s="1"/>
      <c r="D607" s="1"/>
      <c r="E607" s="1"/>
      <c r="F607" s="1"/>
      <c r="G607" s="1"/>
      <c r="H607" s="1"/>
      <c r="I607" s="1"/>
      <c r="K607" s="1"/>
      <c r="L607" s="1"/>
      <c r="O607" s="1"/>
      <c r="P607" s="1"/>
      <c r="Q607" s="1"/>
      <c r="R607" s="1"/>
      <c r="S607" s="1"/>
      <c r="X607" s="1"/>
      <c r="AC607" s="1"/>
    </row>
    <row r="608" customFormat="false" ht="12.8" hidden="false" customHeight="false" outlineLevel="0" collapsed="false">
      <c r="A608" s="3"/>
      <c r="B608" s="1"/>
      <c r="C608" s="1"/>
      <c r="D608" s="1"/>
      <c r="E608" s="1"/>
      <c r="F608" s="1"/>
      <c r="G608" s="1"/>
      <c r="H608" s="1"/>
      <c r="I608" s="1"/>
      <c r="K608" s="1"/>
      <c r="L608" s="1"/>
      <c r="O608" s="1"/>
      <c r="P608" s="1"/>
      <c r="Q608" s="1"/>
      <c r="R608" s="1"/>
      <c r="S608" s="1"/>
      <c r="X608" s="1"/>
      <c r="AC608" s="1"/>
    </row>
    <row r="609" customFormat="false" ht="12.8" hidden="false" customHeight="false" outlineLevel="0" collapsed="false">
      <c r="A609" s="3"/>
      <c r="B609" s="1"/>
      <c r="C609" s="1"/>
      <c r="D609" s="1"/>
      <c r="E609" s="1"/>
      <c r="F609" s="1"/>
      <c r="G609" s="1"/>
      <c r="H609" s="1"/>
      <c r="I609" s="1"/>
      <c r="K609" s="1"/>
      <c r="L609" s="1"/>
      <c r="O609" s="1"/>
      <c r="P609" s="1"/>
      <c r="Q609" s="1"/>
      <c r="R609" s="1"/>
      <c r="S609" s="1"/>
      <c r="X609" s="1"/>
      <c r="AC609" s="1"/>
    </row>
    <row r="610" customFormat="false" ht="12.8" hidden="false" customHeight="false" outlineLevel="0" collapsed="false">
      <c r="A610" s="3"/>
      <c r="B610" s="1"/>
      <c r="C610" s="1"/>
      <c r="D610" s="1"/>
      <c r="E610" s="1"/>
      <c r="F610" s="1"/>
      <c r="G610" s="1"/>
      <c r="H610" s="1"/>
      <c r="I610" s="1"/>
      <c r="K610" s="1"/>
      <c r="L610" s="1"/>
      <c r="O610" s="1"/>
      <c r="P610" s="1"/>
      <c r="Q610" s="1"/>
      <c r="R610" s="1"/>
      <c r="S610" s="1"/>
      <c r="X610" s="1"/>
      <c r="AC610" s="1"/>
    </row>
    <row r="611" customFormat="false" ht="12.8" hidden="false" customHeight="false" outlineLevel="0" collapsed="false">
      <c r="A611" s="3"/>
      <c r="B611" s="1"/>
      <c r="C611" s="1"/>
      <c r="D611" s="1"/>
      <c r="E611" s="1"/>
      <c r="F611" s="1"/>
      <c r="G611" s="1"/>
      <c r="H611" s="1"/>
      <c r="I611" s="1"/>
      <c r="K611" s="1"/>
      <c r="L611" s="1"/>
      <c r="O611" s="1"/>
      <c r="P611" s="1"/>
      <c r="Q611" s="1"/>
      <c r="R611" s="1"/>
      <c r="S611" s="1"/>
      <c r="X611" s="1"/>
      <c r="AC611" s="1"/>
    </row>
    <row r="612" customFormat="false" ht="12.8" hidden="false" customHeight="false" outlineLevel="0" collapsed="false">
      <c r="A612" s="3"/>
      <c r="B612" s="1"/>
      <c r="C612" s="1"/>
      <c r="D612" s="1"/>
      <c r="E612" s="1"/>
      <c r="G612" s="1"/>
      <c r="H612" s="1"/>
      <c r="I612" s="1"/>
      <c r="K612" s="1"/>
      <c r="L612" s="1"/>
      <c r="O612" s="1"/>
      <c r="P612" s="1"/>
      <c r="Q612" s="1"/>
      <c r="R612" s="1"/>
      <c r="S612" s="1"/>
      <c r="X612" s="1"/>
      <c r="Y612" s="1"/>
      <c r="AC612" s="1"/>
    </row>
    <row r="613" customFormat="false" ht="12.8" hidden="false" customHeight="false" outlineLevel="0" collapsed="false">
      <c r="A613" s="3"/>
      <c r="B613" s="1"/>
      <c r="C613" s="1"/>
      <c r="D613" s="1"/>
      <c r="E613" s="1"/>
      <c r="G613" s="1"/>
      <c r="H613" s="1"/>
      <c r="I613" s="1"/>
      <c r="K613" s="1"/>
      <c r="L613" s="1"/>
      <c r="O613" s="1"/>
      <c r="P613" s="1"/>
      <c r="Q613" s="1"/>
      <c r="R613" s="1"/>
      <c r="S613" s="1"/>
      <c r="X613" s="1"/>
      <c r="AC613" s="1"/>
    </row>
    <row r="614" customFormat="false" ht="12.8" hidden="false" customHeight="false" outlineLevel="0" collapsed="false">
      <c r="A614" s="3"/>
      <c r="B614" s="1"/>
      <c r="C614" s="1"/>
      <c r="D614" s="1"/>
      <c r="E614" s="1"/>
      <c r="G614" s="1"/>
      <c r="H614" s="1"/>
      <c r="I614" s="1"/>
      <c r="K614" s="1"/>
      <c r="L614" s="1"/>
      <c r="O614" s="1"/>
      <c r="P614" s="1"/>
      <c r="Q614" s="1"/>
      <c r="R614" s="1"/>
      <c r="S614" s="1"/>
      <c r="X614" s="1"/>
      <c r="AC614" s="1"/>
    </row>
    <row r="615" customFormat="false" ht="12.8" hidden="false" customHeight="false" outlineLevel="0" collapsed="false">
      <c r="A615" s="3"/>
      <c r="B615" s="1"/>
      <c r="C615" s="1"/>
      <c r="D615" s="1"/>
      <c r="E615" s="1"/>
      <c r="G615" s="1"/>
      <c r="H615" s="1"/>
      <c r="I615" s="1"/>
      <c r="K615" s="1"/>
      <c r="L615" s="1"/>
      <c r="O615" s="1"/>
      <c r="P615" s="1"/>
      <c r="Q615" s="1"/>
      <c r="R615" s="1"/>
      <c r="S615" s="1"/>
      <c r="X615" s="1"/>
      <c r="AC615" s="1"/>
    </row>
    <row r="616" customFormat="false" ht="12.8" hidden="false" customHeight="false" outlineLevel="0" collapsed="false">
      <c r="A616" s="3"/>
      <c r="B616" s="1"/>
      <c r="C616" s="1"/>
      <c r="D616" s="1"/>
      <c r="E616" s="1"/>
      <c r="G616" s="1"/>
      <c r="H616" s="1"/>
      <c r="I616" s="1"/>
      <c r="K616" s="1"/>
      <c r="L616" s="1"/>
      <c r="O616" s="1"/>
      <c r="P616" s="1"/>
      <c r="Q616" s="1"/>
      <c r="R616" s="1"/>
      <c r="S616" s="1"/>
      <c r="X616" s="1"/>
      <c r="AC616" s="1"/>
    </row>
    <row r="617" customFormat="false" ht="12.8" hidden="false" customHeight="false" outlineLevel="0" collapsed="false">
      <c r="A617" s="3"/>
      <c r="B617" s="1"/>
      <c r="C617" s="1"/>
      <c r="D617" s="1"/>
      <c r="E617" s="1"/>
      <c r="G617" s="1"/>
      <c r="H617" s="1"/>
      <c r="I617" s="1"/>
      <c r="K617" s="1"/>
      <c r="L617" s="1"/>
      <c r="O617" s="1"/>
      <c r="P617" s="1"/>
      <c r="Q617" s="1"/>
      <c r="R617" s="1"/>
      <c r="S617" s="1"/>
      <c r="X617" s="1"/>
      <c r="AC617" s="1"/>
    </row>
    <row r="618" customFormat="false" ht="12.8" hidden="false" customHeight="false" outlineLevel="0" collapsed="false">
      <c r="A618" s="3"/>
      <c r="B618" s="1"/>
      <c r="C618" s="1"/>
      <c r="D618" s="1"/>
      <c r="E618" s="1"/>
      <c r="G618" s="1"/>
      <c r="H618" s="1"/>
      <c r="I618" s="1"/>
      <c r="K618" s="1"/>
      <c r="L618" s="1"/>
      <c r="O618" s="1"/>
      <c r="P618" s="1"/>
      <c r="Q618" s="1"/>
      <c r="R618" s="1"/>
      <c r="S618" s="1"/>
      <c r="X618" s="1"/>
      <c r="AC618" s="1"/>
    </row>
    <row r="619" customFormat="false" ht="12.8" hidden="false" customHeight="false" outlineLevel="0" collapsed="false">
      <c r="A619" s="3"/>
      <c r="B619" s="1"/>
      <c r="C619" s="1"/>
      <c r="D619" s="1"/>
      <c r="E619" s="1"/>
      <c r="G619" s="1"/>
      <c r="H619" s="1"/>
      <c r="I619" s="1"/>
      <c r="K619" s="1"/>
      <c r="L619" s="1"/>
      <c r="O619" s="1"/>
      <c r="P619" s="1"/>
      <c r="Q619" s="1"/>
      <c r="R619" s="1"/>
      <c r="S619" s="1"/>
      <c r="X619" s="1"/>
      <c r="AC619" s="1"/>
    </row>
    <row r="620" customFormat="false" ht="12.8" hidden="false" customHeight="false" outlineLevel="0" collapsed="false">
      <c r="A620" s="3"/>
      <c r="B620" s="1"/>
      <c r="C620" s="1"/>
      <c r="D620" s="1"/>
      <c r="E620" s="1"/>
      <c r="G620" s="1"/>
      <c r="H620" s="1"/>
      <c r="I620" s="1"/>
      <c r="K620" s="1"/>
      <c r="L620" s="1"/>
      <c r="O620" s="1"/>
      <c r="P620" s="1"/>
      <c r="Q620" s="1"/>
      <c r="R620" s="1"/>
      <c r="S620" s="1"/>
      <c r="X620" s="1"/>
      <c r="AC620" s="1"/>
    </row>
    <row r="621" customFormat="false" ht="12.8" hidden="false" customHeight="false" outlineLevel="0" collapsed="false">
      <c r="A621" s="3"/>
      <c r="B621" s="1"/>
      <c r="C621" s="1"/>
      <c r="D621" s="1"/>
      <c r="E621" s="1"/>
      <c r="G621" s="1"/>
      <c r="H621" s="1"/>
      <c r="I621" s="1"/>
      <c r="K621" s="1"/>
      <c r="L621" s="1"/>
      <c r="O621" s="1"/>
      <c r="P621" s="1"/>
      <c r="Q621" s="1"/>
      <c r="R621" s="1"/>
      <c r="S621" s="1"/>
      <c r="X621" s="1"/>
      <c r="AC621" s="1"/>
    </row>
    <row r="622" customFormat="false" ht="12.8" hidden="false" customHeight="false" outlineLevel="0" collapsed="false">
      <c r="A622" s="3"/>
      <c r="B622" s="1"/>
      <c r="C622" s="1"/>
      <c r="D622" s="1"/>
      <c r="E622" s="1"/>
      <c r="G622" s="1"/>
      <c r="H622" s="1"/>
      <c r="I622" s="1"/>
      <c r="K622" s="1"/>
      <c r="L622" s="1"/>
      <c r="O622" s="1"/>
      <c r="P622" s="1"/>
      <c r="Q622" s="1"/>
      <c r="R622" s="1"/>
      <c r="S622" s="1"/>
      <c r="X622" s="1"/>
      <c r="AC622" s="1"/>
    </row>
    <row r="623" customFormat="false" ht="12.8" hidden="false" customHeight="false" outlineLevel="0" collapsed="false">
      <c r="A623" s="3"/>
      <c r="B623" s="1"/>
      <c r="C623" s="1"/>
      <c r="D623" s="1"/>
      <c r="E623" s="1"/>
      <c r="G623" s="1"/>
      <c r="H623" s="1"/>
      <c r="I623" s="1"/>
      <c r="K623" s="1"/>
      <c r="L623" s="1"/>
      <c r="O623" s="1"/>
      <c r="P623" s="1"/>
      <c r="Q623" s="1"/>
      <c r="R623" s="1"/>
      <c r="S623" s="1"/>
      <c r="X623" s="1"/>
      <c r="AC623" s="1"/>
    </row>
    <row r="624" customFormat="false" ht="12.8" hidden="false" customHeight="false" outlineLevel="0" collapsed="false">
      <c r="A624" s="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N624" s="1"/>
      <c r="O624" s="1"/>
      <c r="P624" s="1"/>
      <c r="R624" s="1"/>
      <c r="S624" s="1"/>
      <c r="X624" s="1"/>
      <c r="Y624" s="1"/>
      <c r="AC624" s="1"/>
    </row>
    <row r="625" customFormat="false" ht="12.8" hidden="false" customHeight="false" outlineLevel="0" collapsed="false">
      <c r="A625" s="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N625" s="1"/>
      <c r="O625" s="1"/>
      <c r="P625" s="1"/>
      <c r="R625" s="1"/>
      <c r="S625" s="1"/>
      <c r="X625" s="1"/>
      <c r="Y625" s="1"/>
      <c r="AC625" s="1"/>
    </row>
    <row r="626" customFormat="false" ht="12.8" hidden="false" customHeight="false" outlineLevel="0" collapsed="false">
      <c r="A626" s="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O626" s="1"/>
      <c r="P626" s="1"/>
      <c r="R626" s="1"/>
      <c r="S626" s="1"/>
      <c r="X626" s="1"/>
      <c r="Y626" s="1"/>
      <c r="AC626" s="1"/>
    </row>
    <row r="627" customFormat="false" ht="12.8" hidden="false" customHeight="false" outlineLevel="0" collapsed="false">
      <c r="A627" s="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N627" s="1"/>
      <c r="O627" s="1"/>
      <c r="P627" s="1"/>
      <c r="R627" s="1"/>
      <c r="S627" s="1"/>
      <c r="X627" s="1"/>
      <c r="Y627" s="1"/>
      <c r="AC627" s="1"/>
    </row>
    <row r="628" customFormat="false" ht="12.8" hidden="false" customHeight="false" outlineLevel="0" collapsed="false">
      <c r="A628" s="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N628" s="1"/>
      <c r="O628" s="1"/>
      <c r="P628" s="1"/>
      <c r="R628" s="1"/>
      <c r="S628" s="1"/>
      <c r="X628" s="1"/>
      <c r="Y628" s="1"/>
      <c r="AC628" s="1"/>
    </row>
    <row r="629" customFormat="false" ht="12.8" hidden="false" customHeight="false" outlineLevel="0" collapsed="false">
      <c r="A629" s="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N629" s="1"/>
      <c r="O629" s="1"/>
      <c r="P629" s="1"/>
      <c r="R629" s="1"/>
      <c r="S629" s="1"/>
      <c r="X629" s="1"/>
      <c r="Y629" s="1"/>
      <c r="AC629" s="1"/>
    </row>
    <row r="630" customFormat="false" ht="12.8" hidden="false" customHeight="false" outlineLevel="0" collapsed="false">
      <c r="A630" s="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N630" s="1"/>
      <c r="O630" s="1"/>
      <c r="P630" s="1"/>
      <c r="R630" s="1"/>
      <c r="S630" s="1"/>
      <c r="X630" s="1"/>
      <c r="Y630" s="1"/>
      <c r="AC630" s="1"/>
    </row>
    <row r="631" customFormat="false" ht="12.8" hidden="false" customHeight="false" outlineLevel="0" collapsed="false">
      <c r="A631" s="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N631" s="1"/>
      <c r="O631" s="1"/>
      <c r="P631" s="1"/>
      <c r="R631" s="1"/>
      <c r="S631" s="1"/>
      <c r="X631" s="1"/>
      <c r="Y631" s="1"/>
      <c r="AC631" s="1"/>
    </row>
    <row r="632" customFormat="false" ht="12.8" hidden="false" customHeight="false" outlineLevel="0" collapsed="false">
      <c r="A632" s="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N632" s="1"/>
      <c r="O632" s="1"/>
      <c r="P632" s="1"/>
      <c r="R632" s="1"/>
      <c r="S632" s="1"/>
      <c r="X632" s="1"/>
      <c r="Y632" s="1"/>
      <c r="AC632" s="1"/>
    </row>
    <row r="633" customFormat="false" ht="12.8" hidden="false" customHeight="false" outlineLevel="0" collapsed="false">
      <c r="A633" s="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N633" s="1"/>
      <c r="O633" s="1"/>
      <c r="P633" s="1"/>
      <c r="R633" s="1"/>
      <c r="S633" s="1"/>
      <c r="X633" s="1"/>
      <c r="Y633" s="1"/>
      <c r="AC633" s="1"/>
    </row>
    <row r="634" customFormat="false" ht="12.8" hidden="false" customHeight="false" outlineLevel="0" collapsed="false">
      <c r="A634" s="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N634" s="1"/>
      <c r="O634" s="1"/>
      <c r="P634" s="1"/>
      <c r="R634" s="1"/>
      <c r="S634" s="1"/>
      <c r="X634" s="1"/>
      <c r="Y634" s="1"/>
      <c r="AC634" s="1"/>
    </row>
    <row r="635" customFormat="false" ht="12.8" hidden="false" customHeight="false" outlineLevel="0" collapsed="false">
      <c r="A635" s="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N635" s="1"/>
      <c r="O635" s="1"/>
      <c r="P635" s="1"/>
      <c r="R635" s="1"/>
      <c r="S635" s="1"/>
      <c r="X635" s="1"/>
      <c r="Y635" s="1"/>
      <c r="AC635" s="1"/>
    </row>
    <row r="636" customFormat="false" ht="12.8" hidden="false" customHeight="false" outlineLevel="0" collapsed="false">
      <c r="A636" s="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N636" s="1"/>
      <c r="O636" s="1"/>
      <c r="P636" s="1"/>
      <c r="R636" s="1"/>
      <c r="S636" s="1"/>
      <c r="X636" s="1"/>
      <c r="Y636" s="1"/>
      <c r="AC636" s="1"/>
    </row>
    <row r="637" customFormat="false" ht="12.8" hidden="false" customHeight="false" outlineLevel="0" collapsed="false">
      <c r="A637" s="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N637" s="1"/>
      <c r="O637" s="1"/>
      <c r="P637" s="1"/>
      <c r="R637" s="1"/>
      <c r="S637" s="1"/>
      <c r="X637" s="1"/>
      <c r="Y637" s="1"/>
      <c r="AC637" s="1"/>
    </row>
    <row r="638" customFormat="false" ht="12.8" hidden="false" customHeight="false" outlineLevel="0" collapsed="false">
      <c r="A638" s="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N638" s="1"/>
      <c r="O638" s="1"/>
      <c r="P638" s="1"/>
      <c r="R638" s="1"/>
      <c r="S638" s="1"/>
      <c r="X638" s="1"/>
      <c r="Y638" s="1"/>
      <c r="AC638" s="1"/>
    </row>
    <row r="639" customFormat="false" ht="12.8" hidden="false" customHeight="false" outlineLevel="0" collapsed="false">
      <c r="A639" s="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N639" s="1"/>
      <c r="O639" s="1"/>
      <c r="P639" s="1"/>
      <c r="R639" s="1"/>
      <c r="S639" s="1"/>
      <c r="X639" s="1"/>
      <c r="Y639" s="1"/>
      <c r="AC639" s="1"/>
    </row>
    <row r="640" customFormat="false" ht="12.8" hidden="false" customHeight="false" outlineLevel="0" collapsed="false">
      <c r="A640" s="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N640" s="1"/>
      <c r="O640" s="1"/>
      <c r="P640" s="1"/>
      <c r="R640" s="1"/>
      <c r="S640" s="1"/>
      <c r="X640" s="1"/>
      <c r="Y640" s="1"/>
      <c r="AC640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40"/>
  <sheetViews>
    <sheetView showFormulas="false" showGridLines="true" showRowColHeaders="true" showZeros="true" rightToLeft="false" tabSelected="false" showOutlineSymbols="true" defaultGridColor="true" view="normal" topLeftCell="A602" colorId="64" zoomScale="130" zoomScaleNormal="130" zoomScalePageLayoutView="100" workbookViewId="0">
      <selection pane="topLeft" activeCell="C640" activeCellId="0" sqref="C64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07"/>
    <col collapsed="false" customWidth="true" hidden="false" outlineLevel="0" max="2" min="2" style="1" width="14.92"/>
    <col collapsed="false" customWidth="true" hidden="false" outlineLevel="0" max="3" min="3" style="1" width="72"/>
    <col collapsed="false" customWidth="true" hidden="false" outlineLevel="0" max="4" min="4" style="1" width="13.12"/>
    <col collapsed="false" customWidth="true" hidden="false" outlineLevel="0" max="5" min="5" style="1" width="15.06"/>
    <col collapsed="false" customWidth="true" hidden="false" outlineLevel="0" max="6" min="6" style="1" width="23.83"/>
    <col collapsed="false" customWidth="true" hidden="false" outlineLevel="0" max="7" min="7" style="1" width="17.85"/>
    <col collapsed="false" customWidth="true" hidden="false" outlineLevel="0" max="8" min="8" style="1" width="42.88"/>
    <col collapsed="false" customWidth="true" hidden="false" outlineLevel="0" max="9" min="9" style="4" width="63.05"/>
    <col collapsed="false" customWidth="true" hidden="false" outlineLevel="0" max="10" min="10" style="1" width="14.65"/>
    <col collapsed="false" customWidth="true" hidden="false" outlineLevel="0" max="12" min="11" style="1" width="7.83"/>
    <col collapsed="false" customWidth="true" hidden="false" outlineLevel="0" max="13" min="13" style="1" width="22.02"/>
    <col collapsed="false" customWidth="true" hidden="false" outlineLevel="0" max="14" min="14" style="1" width="12.97"/>
    <col collapsed="false" customWidth="true" hidden="false" outlineLevel="0" max="15" min="15" style="4" width="34.56"/>
  </cols>
  <sheetData>
    <row r="1" customFormat="false" ht="12.8" hidden="false" customHeight="false" outlineLevel="0" collapsed="false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4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4" t="s">
        <v>52</v>
      </c>
    </row>
    <row r="2" customFormat="false" ht="146.95" hidden="false" customHeight="false" outlineLevel="0" collapsed="false">
      <c r="B2" s="1" t="str">
        <f aca="false">UPPER(Prowler!C2)</f>
        <v/>
      </c>
      <c r="C2" s="1" t="str">
        <f aca="false">IF(Prowler!AL2&lt;&gt;"",Prowler!AL2, _xlfn.CONCAT("arn:aws:ec2:",F2,":",Prowler!AD2,":instance/",Prowler!AK2))</f>
        <v>arn:aws:ec2:::instance/</v>
      </c>
      <c r="F2" s="1" t="n">
        <f aca="false">Prowler!AJ2</f>
        <v>0</v>
      </c>
      <c r="G2" s="1" t="n">
        <f aca="false">Prowler!E2</f>
        <v>0</v>
      </c>
      <c r="H2" s="4" t="str">
        <f aca="false">_xlfn.TEXTJOIN(CHAR(10),1, Prowler!O2:Q2)</f>
        <v/>
      </c>
      <c r="I2" s="4" t="str">
        <f aca="false">_xlfn.TEXTJOIN(CHAR(10),1, Prowler!R2:W2)</f>
        <v/>
      </c>
      <c r="J2" s="1" t="n">
        <f aca="false">IF(Prowler!K2="critical",10, IF(Prowler!K2="high",7, IF(Prowler!K2="medium",5, 1)))</f>
        <v>1</v>
      </c>
      <c r="M2" s="3" t="n">
        <f aca="false">Prowler!A2</f>
        <v>0</v>
      </c>
      <c r="O2" s="4" t="str">
        <f aca="false">IF(Prowler!N2="", "", _xlfn.CONCAT("[{""key"":""",SUBSTITUTE(SUBSTITUTE(Prowler!N2,"=",""",""value"":""")," | ","""},{""key"":"""),"""}]"))</f>
        <v/>
      </c>
    </row>
    <row r="3" customFormat="false" ht="146.95" hidden="false" customHeight="false" outlineLevel="0" collapsed="false">
      <c r="B3" s="1" t="str">
        <f aca="false">UPPER(Prowler!C3)</f>
        <v/>
      </c>
      <c r="C3" s="1" t="str">
        <f aca="false">IF(Prowler!AL3&lt;&gt;"",Prowler!AL3, _xlfn.CONCAT("arn:aws:ec2:",F3,":",Prowler!AD3,":instance/",Prowler!AK3))</f>
        <v>arn:aws:ec2:::instance/</v>
      </c>
      <c r="F3" s="1" t="n">
        <f aca="false">Prowler!AJ3</f>
        <v>0</v>
      </c>
      <c r="G3" s="1" t="n">
        <f aca="false">Prowler!E3</f>
        <v>0</v>
      </c>
      <c r="H3" s="4" t="str">
        <f aca="false">_xlfn.TEXTJOIN(CHAR(10),1, Prowler!O3:Q3)</f>
        <v/>
      </c>
      <c r="I3" s="4" t="str">
        <f aca="false">_xlfn.TEXTJOIN(CHAR(10),1, Prowler!R3:W3)</f>
        <v/>
      </c>
      <c r="J3" s="1" t="n">
        <f aca="false">IF(Prowler!K3="critical",10, IF(Prowler!K3="high",7, IF(Prowler!K3="medium",5, 1)))</f>
        <v>1</v>
      </c>
      <c r="M3" s="3" t="n">
        <f aca="false">Prowler!A3</f>
        <v>0</v>
      </c>
      <c r="O3" s="4" t="str">
        <f aca="false">IF(Prowler!N3="", "", _xlfn.CONCAT("[{""key"":""",SUBSTITUTE(SUBSTITUTE(Prowler!N3,"=",""",""value"":""")," | ","""},{""key"":"""),"""}]"))</f>
        <v/>
      </c>
    </row>
    <row r="4" customFormat="false" ht="146.95" hidden="false" customHeight="false" outlineLevel="0" collapsed="false">
      <c r="B4" s="1" t="str">
        <f aca="false">UPPER(Prowler!C4)</f>
        <v/>
      </c>
      <c r="C4" s="1" t="str">
        <f aca="false">IF(Prowler!AL4&lt;&gt;"",Prowler!AL4, _xlfn.CONCAT("arn:aws:ec2:",F4,":",Prowler!AD4,":instance/",Prowler!AK4))</f>
        <v>arn:aws:ec2:::instance/</v>
      </c>
      <c r="F4" s="1" t="n">
        <f aca="false">Prowler!AJ4</f>
        <v>0</v>
      </c>
      <c r="G4" s="1" t="n">
        <f aca="false">Prowler!E4</f>
        <v>0</v>
      </c>
      <c r="H4" s="4" t="str">
        <f aca="false">_xlfn.TEXTJOIN(CHAR(10),1, Prowler!O4:Q4)</f>
        <v/>
      </c>
      <c r="I4" s="4" t="str">
        <f aca="false">_xlfn.TEXTJOIN(CHAR(10),1, Prowler!R4:W4)</f>
        <v/>
      </c>
      <c r="J4" s="1" t="n">
        <f aca="false">IF(Prowler!K4="critical",10, IF(Prowler!K4="high",7, IF(Prowler!K4="medium",5, 1)))</f>
        <v>1</v>
      </c>
      <c r="M4" s="3" t="n">
        <f aca="false">Prowler!A4</f>
        <v>0</v>
      </c>
      <c r="O4" s="4" t="str">
        <f aca="false">IF(Prowler!N4="", "", _xlfn.CONCAT("[{""key"":""",SUBSTITUTE(SUBSTITUTE(Prowler!N4,"=",""",""value"":""")," | ","""},{""key"":"""),"""}]"))</f>
        <v/>
      </c>
    </row>
    <row r="5" customFormat="false" ht="146.95" hidden="false" customHeight="false" outlineLevel="0" collapsed="false">
      <c r="B5" s="1" t="str">
        <f aca="false">UPPER(Prowler!C5)</f>
        <v/>
      </c>
      <c r="C5" s="1" t="str">
        <f aca="false">IF(Prowler!AL5&lt;&gt;"",Prowler!AL5, _xlfn.CONCAT("arn:aws:ec2:",F5,":",Prowler!AD5,":instance/",Prowler!AK5))</f>
        <v>arn:aws:ec2:::instance/</v>
      </c>
      <c r="F5" s="1" t="n">
        <f aca="false">Prowler!AJ5</f>
        <v>0</v>
      </c>
      <c r="G5" s="1" t="n">
        <f aca="false">Prowler!E5</f>
        <v>0</v>
      </c>
      <c r="H5" s="4" t="str">
        <f aca="false">_xlfn.TEXTJOIN(CHAR(10),1, Prowler!O5:Q5)</f>
        <v/>
      </c>
      <c r="I5" s="4" t="str">
        <f aca="false">_xlfn.TEXTJOIN(CHAR(10),1, Prowler!R5:W5)</f>
        <v/>
      </c>
      <c r="J5" s="1" t="n">
        <f aca="false">IF(Prowler!K5="critical",10, IF(Prowler!K5="high",7, IF(Prowler!K5="medium",5, 1)))</f>
        <v>1</v>
      </c>
      <c r="M5" s="3" t="n">
        <f aca="false">Prowler!A5</f>
        <v>0</v>
      </c>
      <c r="O5" s="4" t="str">
        <f aca="false">IF(Prowler!N5="", "", _xlfn.CONCAT("[{""key"":""",SUBSTITUTE(SUBSTITUTE(Prowler!N5,"=",""",""value"":""")," | ","""},{""key"":"""),"""}]"))</f>
        <v/>
      </c>
    </row>
    <row r="6" customFormat="false" ht="146.95" hidden="false" customHeight="false" outlineLevel="0" collapsed="false">
      <c r="B6" s="1" t="str">
        <f aca="false">UPPER(Prowler!C6)</f>
        <v/>
      </c>
      <c r="C6" s="1" t="str">
        <f aca="false">IF(Prowler!AL6&lt;&gt;"",Prowler!AL6, _xlfn.CONCAT("arn:aws:ec2:",F6,":",Prowler!AD6,":instance/",Prowler!AK6))</f>
        <v>arn:aws:ec2:::instance/</v>
      </c>
      <c r="F6" s="1" t="n">
        <f aca="false">Prowler!AJ6</f>
        <v>0</v>
      </c>
      <c r="G6" s="1" t="n">
        <f aca="false">Prowler!E6</f>
        <v>0</v>
      </c>
      <c r="H6" s="4" t="str">
        <f aca="false">_xlfn.TEXTJOIN(CHAR(10),1, Prowler!O6:Q6)</f>
        <v/>
      </c>
      <c r="I6" s="4" t="str">
        <f aca="false">_xlfn.TEXTJOIN(CHAR(10),1, Prowler!R6:W6)</f>
        <v/>
      </c>
      <c r="J6" s="1" t="n">
        <f aca="false">IF(Prowler!K6="critical",10, IF(Prowler!K6="high",7, IF(Prowler!K6="medium",5, 1)))</f>
        <v>1</v>
      </c>
      <c r="M6" s="3" t="n">
        <f aca="false">Prowler!A6</f>
        <v>0</v>
      </c>
      <c r="O6" s="4" t="str">
        <f aca="false">IF(Prowler!N6="", "", _xlfn.CONCAT("[{""key"":""",SUBSTITUTE(SUBSTITUTE(Prowler!N6,"=",""",""value"":""")," | ","""},{""key"":"""),"""}]"))</f>
        <v/>
      </c>
    </row>
    <row r="7" customFormat="false" ht="146.95" hidden="false" customHeight="false" outlineLevel="0" collapsed="false">
      <c r="B7" s="1" t="str">
        <f aca="false">UPPER(Prowler!C7)</f>
        <v/>
      </c>
      <c r="C7" s="1" t="str">
        <f aca="false">IF(Prowler!AL7&lt;&gt;"",Prowler!AL7, _xlfn.CONCAT("arn:aws:ec2:",F7,":",Prowler!AD7,":instance/",Prowler!AK7))</f>
        <v>arn:aws:ec2:::instance/</v>
      </c>
      <c r="F7" s="1" t="n">
        <f aca="false">Prowler!AJ7</f>
        <v>0</v>
      </c>
      <c r="G7" s="1" t="n">
        <f aca="false">Prowler!E7</f>
        <v>0</v>
      </c>
      <c r="H7" s="4" t="str">
        <f aca="false">_xlfn.TEXTJOIN(CHAR(10),1, Prowler!O7:Q7)</f>
        <v/>
      </c>
      <c r="I7" s="4" t="str">
        <f aca="false">_xlfn.TEXTJOIN(CHAR(10),1, Prowler!R7:W7)</f>
        <v/>
      </c>
      <c r="J7" s="1" t="n">
        <f aca="false">IF(Prowler!K7="critical",10, IF(Prowler!K7="high",7, IF(Prowler!K7="medium",5, 1)))</f>
        <v>1</v>
      </c>
      <c r="M7" s="3" t="n">
        <f aca="false">Prowler!A7</f>
        <v>0</v>
      </c>
      <c r="O7" s="4" t="str">
        <f aca="false">IF(Prowler!N7="", "", _xlfn.CONCAT("[{""key"":""",SUBSTITUTE(SUBSTITUTE(Prowler!N7,"=",""",""value"":""")," | ","""},{""key"":"""),"""}]"))</f>
        <v/>
      </c>
    </row>
    <row r="8" customFormat="false" ht="146.95" hidden="false" customHeight="false" outlineLevel="0" collapsed="false">
      <c r="B8" s="1" t="str">
        <f aca="false">UPPER(Prowler!C8)</f>
        <v/>
      </c>
      <c r="C8" s="1" t="str">
        <f aca="false">IF(Prowler!AL8&lt;&gt;"",Prowler!AL8, _xlfn.CONCAT("arn:aws:ec2:",F8,":",Prowler!AD8,":instance/",Prowler!AK8))</f>
        <v>arn:aws:ec2:::instance/</v>
      </c>
      <c r="F8" s="1" t="n">
        <f aca="false">Prowler!AJ8</f>
        <v>0</v>
      </c>
      <c r="G8" s="1" t="n">
        <f aca="false">Prowler!E8</f>
        <v>0</v>
      </c>
      <c r="H8" s="4" t="str">
        <f aca="false">_xlfn.TEXTJOIN(CHAR(10),1, Prowler!O8:Q8)</f>
        <v/>
      </c>
      <c r="I8" s="4" t="str">
        <f aca="false">_xlfn.TEXTJOIN(CHAR(10),1, Prowler!R8:W8)</f>
        <v/>
      </c>
      <c r="J8" s="1" t="n">
        <f aca="false">IF(Prowler!K8="critical",10, IF(Prowler!K8="high",7, IF(Prowler!K8="medium",5, 1)))</f>
        <v>1</v>
      </c>
      <c r="M8" s="3" t="n">
        <f aca="false">Prowler!A8</f>
        <v>0</v>
      </c>
      <c r="O8" s="4" t="str">
        <f aca="false">IF(Prowler!N8="", "", _xlfn.CONCAT("[{""key"":""",SUBSTITUTE(SUBSTITUTE(Prowler!N8,"=",""",""value"":""")," | ","""},{""key"":"""),"""}]"))</f>
        <v/>
      </c>
    </row>
    <row r="9" customFormat="false" ht="146.95" hidden="false" customHeight="false" outlineLevel="0" collapsed="false">
      <c r="B9" s="1" t="str">
        <f aca="false">UPPER(Prowler!C9)</f>
        <v/>
      </c>
      <c r="C9" s="1" t="str">
        <f aca="false">IF(Prowler!AL9&lt;&gt;"",Prowler!AL9, _xlfn.CONCAT("arn:aws:ec2:",F9,":",Prowler!AD9,":instance/",Prowler!AK9))</f>
        <v>arn:aws:ec2:::instance/</v>
      </c>
      <c r="F9" s="1" t="n">
        <f aca="false">Prowler!AJ9</f>
        <v>0</v>
      </c>
      <c r="G9" s="1" t="n">
        <f aca="false">Prowler!E9</f>
        <v>0</v>
      </c>
      <c r="H9" s="4" t="str">
        <f aca="false">_xlfn.TEXTJOIN(CHAR(10),1, Prowler!O9:Q9)</f>
        <v/>
      </c>
      <c r="I9" s="4" t="str">
        <f aca="false">_xlfn.TEXTJOIN(CHAR(10),1, Prowler!R9:W9)</f>
        <v/>
      </c>
      <c r="J9" s="1" t="n">
        <f aca="false">IF(Prowler!K9="critical",10, IF(Prowler!K9="high",7, IF(Prowler!K9="medium",5, 1)))</f>
        <v>1</v>
      </c>
      <c r="M9" s="3" t="n">
        <f aca="false">Prowler!A9</f>
        <v>0</v>
      </c>
      <c r="O9" s="4" t="str">
        <f aca="false">IF(Prowler!N9="", "", _xlfn.CONCAT("[{""key"":""",SUBSTITUTE(SUBSTITUTE(Prowler!N9,"=",""",""value"":""")," | ","""},{""key"":"""),"""}]"))</f>
        <v/>
      </c>
    </row>
    <row r="10" customFormat="false" ht="146.95" hidden="false" customHeight="false" outlineLevel="0" collapsed="false">
      <c r="B10" s="1" t="str">
        <f aca="false">UPPER(Prowler!C10)</f>
        <v/>
      </c>
      <c r="C10" s="1" t="str">
        <f aca="false">IF(Prowler!AL10&lt;&gt;"",Prowler!AL10, _xlfn.CONCAT("arn:aws:ec2:",F10,":",Prowler!AD10,":instance/",Prowler!AK10))</f>
        <v>arn:aws:ec2:::instance/</v>
      </c>
      <c r="F10" s="1" t="n">
        <f aca="false">Prowler!AJ10</f>
        <v>0</v>
      </c>
      <c r="G10" s="1" t="n">
        <f aca="false">Prowler!E10</f>
        <v>0</v>
      </c>
      <c r="H10" s="4" t="str">
        <f aca="false">_xlfn.TEXTJOIN(CHAR(10),1, Prowler!O10:Q10)</f>
        <v/>
      </c>
      <c r="I10" s="4" t="str">
        <f aca="false">_xlfn.TEXTJOIN(CHAR(10),1, Prowler!R10:W10)</f>
        <v/>
      </c>
      <c r="J10" s="1" t="n">
        <f aca="false">IF(Prowler!K10="critical",10, IF(Prowler!K10="high",7, IF(Prowler!K10="medium",5, 1)))</f>
        <v>1</v>
      </c>
      <c r="M10" s="3" t="n">
        <f aca="false">Prowler!A10</f>
        <v>0</v>
      </c>
      <c r="O10" s="4" t="str">
        <f aca="false">IF(Prowler!N10="", "", _xlfn.CONCAT("[{""key"":""",SUBSTITUTE(SUBSTITUTE(Prowler!N10,"=",""",""value"":""")," | ","""},{""key"":"""),"""}]"))</f>
        <v/>
      </c>
    </row>
    <row r="11" customFormat="false" ht="146.95" hidden="false" customHeight="false" outlineLevel="0" collapsed="false">
      <c r="B11" s="1" t="str">
        <f aca="false">UPPER(Prowler!C11)</f>
        <v/>
      </c>
      <c r="C11" s="1" t="str">
        <f aca="false">IF(Prowler!AL11&lt;&gt;"",Prowler!AL11, _xlfn.CONCAT("arn:aws:ec2:",F11,":",Prowler!AD11,":instance/",Prowler!AK11))</f>
        <v>arn:aws:ec2:::instance/</v>
      </c>
      <c r="F11" s="1" t="n">
        <f aca="false">Prowler!AJ11</f>
        <v>0</v>
      </c>
      <c r="G11" s="1" t="n">
        <f aca="false">Prowler!E11</f>
        <v>0</v>
      </c>
      <c r="H11" s="4" t="str">
        <f aca="false">_xlfn.TEXTJOIN(CHAR(10),1, Prowler!O11:Q11)</f>
        <v/>
      </c>
      <c r="I11" s="4" t="str">
        <f aca="false">_xlfn.TEXTJOIN(CHAR(10),1, Prowler!R11:W11)</f>
        <v/>
      </c>
      <c r="J11" s="1" t="n">
        <f aca="false">IF(Prowler!K11="critical",10, IF(Prowler!K11="high",7, IF(Prowler!K11="medium",5, 1)))</f>
        <v>1</v>
      </c>
      <c r="M11" s="3" t="n">
        <f aca="false">Prowler!A11</f>
        <v>0</v>
      </c>
      <c r="O11" s="4" t="str">
        <f aca="false">IF(Prowler!N11="", "", _xlfn.CONCAT("[{""key"":""",SUBSTITUTE(SUBSTITUTE(Prowler!N11,"=",""",""value"":""")," | ","""},{""key"":"""),"""}]"))</f>
        <v/>
      </c>
    </row>
    <row r="12" customFormat="false" ht="146.95" hidden="false" customHeight="false" outlineLevel="0" collapsed="false">
      <c r="B12" s="1" t="str">
        <f aca="false">UPPER(Prowler!C12)</f>
        <v/>
      </c>
      <c r="C12" s="1" t="str">
        <f aca="false">IF(Prowler!AL12&lt;&gt;"",Prowler!AL12, _xlfn.CONCAT("arn:aws:ec2:",F12,":",Prowler!AD12,":instance/",Prowler!AK12))</f>
        <v>arn:aws:ec2:::instance/</v>
      </c>
      <c r="F12" s="1" t="n">
        <f aca="false">Prowler!AJ12</f>
        <v>0</v>
      </c>
      <c r="G12" s="1" t="n">
        <f aca="false">Prowler!E12</f>
        <v>0</v>
      </c>
      <c r="H12" s="4" t="str">
        <f aca="false">_xlfn.TEXTJOIN(CHAR(10),1, Prowler!O12:Q12)</f>
        <v/>
      </c>
      <c r="I12" s="4" t="str">
        <f aca="false">_xlfn.TEXTJOIN(CHAR(10),1, Prowler!R12:W12)</f>
        <v/>
      </c>
      <c r="J12" s="1" t="n">
        <f aca="false">IF(Prowler!K12="critical",10, IF(Prowler!K12="high",7, IF(Prowler!K12="medium",5, 1)))</f>
        <v>1</v>
      </c>
      <c r="M12" s="3" t="n">
        <f aca="false">Prowler!A12</f>
        <v>0</v>
      </c>
      <c r="O12" s="4" t="str">
        <f aca="false">IF(Prowler!N12="", "", _xlfn.CONCAT("[{""key"":""",SUBSTITUTE(SUBSTITUTE(Prowler!N12,"=",""",""value"":""")," | ","""},{""key"":"""),"""}]"))</f>
        <v/>
      </c>
    </row>
    <row r="13" customFormat="false" ht="146.95" hidden="false" customHeight="false" outlineLevel="0" collapsed="false">
      <c r="B13" s="1" t="str">
        <f aca="false">UPPER(Prowler!C13)</f>
        <v/>
      </c>
      <c r="C13" s="1" t="str">
        <f aca="false">IF(Prowler!AL13&lt;&gt;"",Prowler!AL13, _xlfn.CONCAT("arn:aws:ec2:",F13,":",Prowler!AD13,":instance/",Prowler!AK13))</f>
        <v>arn:aws:ec2:::instance/</v>
      </c>
      <c r="F13" s="1" t="n">
        <f aca="false">Prowler!AJ13</f>
        <v>0</v>
      </c>
      <c r="G13" s="1" t="n">
        <f aca="false">Prowler!E13</f>
        <v>0</v>
      </c>
      <c r="H13" s="4" t="str">
        <f aca="false">_xlfn.TEXTJOIN(CHAR(10),1, Prowler!O13:Q13)</f>
        <v/>
      </c>
      <c r="I13" s="4" t="str">
        <f aca="false">_xlfn.TEXTJOIN(CHAR(10),1, Prowler!R13:W13)</f>
        <v/>
      </c>
      <c r="J13" s="1" t="n">
        <f aca="false">IF(Prowler!K13="critical",10, IF(Prowler!K13="high",7, IF(Prowler!K13="medium",5, 1)))</f>
        <v>1</v>
      </c>
      <c r="M13" s="3" t="n">
        <f aca="false">Prowler!A13</f>
        <v>0</v>
      </c>
      <c r="O13" s="4" t="str">
        <f aca="false">IF(Prowler!N13="", "", _xlfn.CONCAT("[{""key"":""",SUBSTITUTE(SUBSTITUTE(Prowler!N13,"=",""",""value"":""")," | ","""},{""key"":"""),"""}]"))</f>
        <v/>
      </c>
    </row>
    <row r="14" customFormat="false" ht="146.95" hidden="false" customHeight="false" outlineLevel="0" collapsed="false">
      <c r="B14" s="1" t="str">
        <f aca="false">UPPER(Prowler!C14)</f>
        <v/>
      </c>
      <c r="C14" s="1" t="str">
        <f aca="false">IF(Prowler!AL14&lt;&gt;"",Prowler!AL14, _xlfn.CONCAT("arn:aws:ec2:",F14,":",Prowler!AD14,":instance/",Prowler!AK14))</f>
        <v>arn:aws:ec2:::instance/</v>
      </c>
      <c r="F14" s="1" t="n">
        <f aca="false">Prowler!AJ14</f>
        <v>0</v>
      </c>
      <c r="G14" s="1" t="n">
        <f aca="false">Prowler!E14</f>
        <v>0</v>
      </c>
      <c r="H14" s="4" t="str">
        <f aca="false">_xlfn.TEXTJOIN(CHAR(10),1, Prowler!O14:Q14)</f>
        <v/>
      </c>
      <c r="I14" s="4" t="str">
        <f aca="false">_xlfn.TEXTJOIN(CHAR(10),1, Prowler!R14:W14)</f>
        <v/>
      </c>
      <c r="J14" s="1" t="n">
        <f aca="false">IF(Prowler!K14="critical",10, IF(Prowler!K14="high",7, IF(Prowler!K14="medium",5, 1)))</f>
        <v>1</v>
      </c>
      <c r="M14" s="3" t="n">
        <f aca="false">Prowler!A14</f>
        <v>0</v>
      </c>
      <c r="O14" s="4" t="str">
        <f aca="false">IF(Prowler!N14="", "", _xlfn.CONCAT("[{""key"":""",SUBSTITUTE(SUBSTITUTE(Prowler!N14,"=",""",""value"":""")," | ","""},{""key"":"""),"""}]"))</f>
        <v/>
      </c>
    </row>
    <row r="15" customFormat="false" ht="146.95" hidden="false" customHeight="false" outlineLevel="0" collapsed="false">
      <c r="B15" s="1" t="str">
        <f aca="false">UPPER(Prowler!C15)</f>
        <v/>
      </c>
      <c r="C15" s="1" t="str">
        <f aca="false">IF(Prowler!AL15&lt;&gt;"",Prowler!AL15, _xlfn.CONCAT("arn:aws:ec2:",F15,":",Prowler!AD15,":instance/",Prowler!AK15))</f>
        <v>arn:aws:ec2:::instance/</v>
      </c>
      <c r="F15" s="1" t="n">
        <f aca="false">Prowler!AJ15</f>
        <v>0</v>
      </c>
      <c r="G15" s="1" t="n">
        <f aca="false">Prowler!E15</f>
        <v>0</v>
      </c>
      <c r="H15" s="4" t="str">
        <f aca="false">_xlfn.TEXTJOIN(CHAR(10),1, Prowler!O15:Q15)</f>
        <v/>
      </c>
      <c r="I15" s="4" t="str">
        <f aca="false">_xlfn.TEXTJOIN(CHAR(10),1, Prowler!R15:W15)</f>
        <v/>
      </c>
      <c r="J15" s="1" t="n">
        <f aca="false">IF(Prowler!K15="critical",10, IF(Prowler!K15="high",7, IF(Prowler!K15="medium",5, 1)))</f>
        <v>1</v>
      </c>
      <c r="M15" s="3" t="n">
        <f aca="false">Prowler!A15</f>
        <v>0</v>
      </c>
      <c r="O15" s="4" t="str">
        <f aca="false">IF(Prowler!N15="", "", _xlfn.CONCAT("[{""key"":""",SUBSTITUTE(SUBSTITUTE(Prowler!N15,"=",""",""value"":""")," | ","""},{""key"":"""),"""}]"))</f>
        <v/>
      </c>
    </row>
    <row r="16" customFormat="false" ht="146.95" hidden="false" customHeight="false" outlineLevel="0" collapsed="false">
      <c r="B16" s="1" t="str">
        <f aca="false">UPPER(Prowler!C16)</f>
        <v/>
      </c>
      <c r="C16" s="1" t="str">
        <f aca="false">IF(Prowler!AL16&lt;&gt;"",Prowler!AL16, _xlfn.CONCAT("arn:aws:ec2:",F16,":",Prowler!AD16,":instance/",Prowler!AK16))</f>
        <v>arn:aws:ec2:::instance/</v>
      </c>
      <c r="F16" s="1" t="n">
        <f aca="false">Prowler!AJ16</f>
        <v>0</v>
      </c>
      <c r="G16" s="1" t="n">
        <f aca="false">Prowler!E16</f>
        <v>0</v>
      </c>
      <c r="H16" s="4" t="str">
        <f aca="false">_xlfn.TEXTJOIN(CHAR(10),1, Prowler!O16:Q16)</f>
        <v/>
      </c>
      <c r="I16" s="4" t="str">
        <f aca="false">_xlfn.TEXTJOIN(CHAR(10),1, Prowler!R16:W16)</f>
        <v/>
      </c>
      <c r="J16" s="1" t="n">
        <f aca="false">IF(Prowler!K16="critical",10, IF(Prowler!K16="high",7, IF(Prowler!K16="medium",5, 1)))</f>
        <v>1</v>
      </c>
      <c r="M16" s="3" t="n">
        <f aca="false">Prowler!A16</f>
        <v>0</v>
      </c>
      <c r="O16" s="4" t="str">
        <f aca="false">IF(Prowler!N16="", "", _xlfn.CONCAT("[{""key"":""",SUBSTITUTE(SUBSTITUTE(Prowler!N16,"=",""",""value"":""")," | ","""},{""key"":"""),"""}]"))</f>
        <v/>
      </c>
    </row>
    <row r="17" customFormat="false" ht="146.95" hidden="false" customHeight="false" outlineLevel="0" collapsed="false">
      <c r="B17" s="1" t="str">
        <f aca="false">UPPER(Prowler!C17)</f>
        <v/>
      </c>
      <c r="C17" s="1" t="str">
        <f aca="false">IF(Prowler!AL17&lt;&gt;"",Prowler!AL17, _xlfn.CONCAT("arn:aws:ec2:",F17,":",Prowler!AD17,":instance/",Prowler!AK17))</f>
        <v>arn:aws:ec2:::instance/</v>
      </c>
      <c r="F17" s="1" t="n">
        <f aca="false">Prowler!AJ17</f>
        <v>0</v>
      </c>
      <c r="G17" s="1" t="n">
        <f aca="false">Prowler!E17</f>
        <v>0</v>
      </c>
      <c r="H17" s="4" t="str">
        <f aca="false">_xlfn.TEXTJOIN(CHAR(10),1, Prowler!O17:Q17)</f>
        <v/>
      </c>
      <c r="I17" s="4" t="str">
        <f aca="false">_xlfn.TEXTJOIN(CHAR(10),1, Prowler!R17:W17)</f>
        <v/>
      </c>
      <c r="J17" s="1" t="n">
        <f aca="false">IF(Prowler!K17="critical",10, IF(Prowler!K17="high",7, IF(Prowler!K17="medium",5, 1)))</f>
        <v>1</v>
      </c>
      <c r="M17" s="3" t="n">
        <f aca="false">Prowler!A17</f>
        <v>0</v>
      </c>
      <c r="O17" s="4" t="str">
        <f aca="false">IF(Prowler!N17="", "", _xlfn.CONCAT("[{""key"":""",SUBSTITUTE(SUBSTITUTE(Prowler!N17,"=",""",""value"":""")," | ","""},{""key"":"""),"""}]"))</f>
        <v/>
      </c>
    </row>
    <row r="18" customFormat="false" ht="146.95" hidden="false" customHeight="false" outlineLevel="0" collapsed="false">
      <c r="B18" s="1" t="str">
        <f aca="false">UPPER(Prowler!C18)</f>
        <v/>
      </c>
      <c r="C18" s="1" t="str">
        <f aca="false">IF(Prowler!AL18&lt;&gt;"",Prowler!AL18, _xlfn.CONCAT("arn:aws:ec2:",F18,":",Prowler!AD18,":instance/",Prowler!AK18))</f>
        <v>arn:aws:ec2:::instance/</v>
      </c>
      <c r="F18" s="1" t="n">
        <f aca="false">Prowler!AJ18</f>
        <v>0</v>
      </c>
      <c r="G18" s="1" t="n">
        <f aca="false">Prowler!E18</f>
        <v>0</v>
      </c>
      <c r="H18" s="4" t="str">
        <f aca="false">_xlfn.TEXTJOIN(CHAR(10),1, Prowler!O18:Q18)</f>
        <v/>
      </c>
      <c r="I18" s="4" t="str">
        <f aca="false">_xlfn.TEXTJOIN(CHAR(10),1, Prowler!R18:W18)</f>
        <v/>
      </c>
      <c r="J18" s="1" t="n">
        <f aca="false">IF(Prowler!K18="critical",10, IF(Prowler!K18="high",7, IF(Prowler!K18="medium",5, 1)))</f>
        <v>1</v>
      </c>
      <c r="M18" s="3" t="n">
        <f aca="false">Prowler!A18</f>
        <v>0</v>
      </c>
      <c r="O18" s="4" t="str">
        <f aca="false">IF(Prowler!N18="", "", _xlfn.CONCAT("[{""key"":""",SUBSTITUTE(SUBSTITUTE(Prowler!N18,"=",""",""value"":""")," | ","""},{""key"":"""),"""}]"))</f>
        <v/>
      </c>
    </row>
    <row r="19" customFormat="false" ht="202.6" hidden="false" customHeight="false" outlineLevel="0" collapsed="false">
      <c r="B19" s="1" t="str">
        <f aca="false">UPPER(Prowler!C19)</f>
        <v/>
      </c>
      <c r="C19" s="1" t="str">
        <f aca="false">IF(Prowler!AL19&lt;&gt;"",Prowler!AL19, _xlfn.CONCAT("arn:aws:ec2:",F19,":",Prowler!AD19,":instance/",Prowler!AK19))</f>
        <v>arn:aws:ec2:::instance/</v>
      </c>
      <c r="F19" s="1" t="n">
        <f aca="false">Prowler!AJ19</f>
        <v>0</v>
      </c>
      <c r="G19" s="1" t="n">
        <f aca="false">Prowler!E19</f>
        <v>0</v>
      </c>
      <c r="H19" s="4" t="str">
        <f aca="false">_xlfn.TEXTJOIN(CHAR(10),1, Prowler!O19:Q19)</f>
        <v/>
      </c>
      <c r="I19" s="4" t="str">
        <f aca="false">_xlfn.TEXTJOIN(CHAR(10),1, Prowler!R19:W19)</f>
        <v/>
      </c>
      <c r="J19" s="1" t="n">
        <f aca="false">IF(Prowler!K19="critical",10, IF(Prowler!K19="high",7, IF(Prowler!K19="medium",5, 1)))</f>
        <v>1</v>
      </c>
      <c r="M19" s="3" t="n">
        <f aca="false">Prowler!A19</f>
        <v>0</v>
      </c>
      <c r="O19" s="4" t="str">
        <f aca="false">IF(Prowler!N19="", "", _xlfn.CONCAT("[{""key"":""",SUBSTITUTE(SUBSTITUTE(Prowler!N19,"=",""",""value"":""")," | ","""},{""key"":"""),"""}]"))</f>
        <v/>
      </c>
    </row>
    <row r="20" customFormat="false" ht="102.15" hidden="false" customHeight="false" outlineLevel="0" collapsed="false">
      <c r="B20" s="1" t="str">
        <f aca="false">UPPER(Prowler!C20)</f>
        <v/>
      </c>
      <c r="C20" s="1" t="str">
        <f aca="false">IF(Prowler!AL20&lt;&gt;"",Prowler!AL20, _xlfn.CONCAT("arn:aws:ec2:",F20,":",Prowler!AD20,":instance/",Prowler!AK20))</f>
        <v>arn:aws:ec2:::instance/</v>
      </c>
      <c r="F20" s="1" t="n">
        <f aca="false">Prowler!AJ20</f>
        <v>0</v>
      </c>
      <c r="G20" s="1" t="n">
        <f aca="false">Prowler!E20</f>
        <v>0</v>
      </c>
      <c r="H20" s="4" t="str">
        <f aca="false">_xlfn.TEXTJOIN(CHAR(10),1, Prowler!O20:Q20)</f>
        <v/>
      </c>
      <c r="I20" s="4" t="str">
        <f aca="false">_xlfn.TEXTJOIN(CHAR(10),1, Prowler!R20:W20)</f>
        <v/>
      </c>
      <c r="J20" s="1" t="n">
        <f aca="false">IF(Prowler!K20="critical",10, IF(Prowler!K20="high",7, IF(Prowler!K20="medium",5, 1)))</f>
        <v>1</v>
      </c>
      <c r="M20" s="3" t="n">
        <f aca="false">Prowler!A20</f>
        <v>0</v>
      </c>
      <c r="O20" s="4" t="str">
        <f aca="false">IF(Prowler!N20="", "", _xlfn.CONCAT("[{""key"":""",SUBSTITUTE(SUBSTITUTE(Prowler!N20,"=",""",""value"":""")," | ","""},{""key"":"""),"""}]"))</f>
        <v/>
      </c>
    </row>
    <row r="21" customFormat="false" ht="180.25" hidden="false" customHeight="false" outlineLevel="0" collapsed="false">
      <c r="B21" s="1" t="str">
        <f aca="false">UPPER(Prowler!C21)</f>
        <v/>
      </c>
      <c r="C21" s="1" t="str">
        <f aca="false">IF(Prowler!AL21&lt;&gt;"",Prowler!AL21, _xlfn.CONCAT("arn:aws:ec2:",F21,":",Prowler!AD21,":instance/",Prowler!AK21))</f>
        <v>arn:aws:ec2:::instance/</v>
      </c>
      <c r="F21" s="1" t="n">
        <f aca="false">Prowler!AJ21</f>
        <v>0</v>
      </c>
      <c r="G21" s="1" t="n">
        <f aca="false">Prowler!E21</f>
        <v>0</v>
      </c>
      <c r="H21" s="4" t="str">
        <f aca="false">_xlfn.TEXTJOIN(CHAR(10),1, Prowler!O21:Q21)</f>
        <v/>
      </c>
      <c r="I21" s="4" t="str">
        <f aca="false">_xlfn.TEXTJOIN(CHAR(10),1, Prowler!R21:W21)</f>
        <v/>
      </c>
      <c r="J21" s="1" t="n">
        <f aca="false">IF(Prowler!K21="critical",10, IF(Prowler!K21="high",7, IF(Prowler!K21="medium",5, 1)))</f>
        <v>1</v>
      </c>
      <c r="M21" s="3" t="n">
        <f aca="false">Prowler!A21</f>
        <v>0</v>
      </c>
      <c r="O21" s="4" t="str">
        <f aca="false">IF(Prowler!N21="", "", _xlfn.CONCAT("[{""key"":""",SUBSTITUTE(SUBSTITUTE(Prowler!N21,"=",""",""value"":""")," | ","""},{""key"":"""),"""}]"))</f>
        <v/>
      </c>
    </row>
    <row r="22" customFormat="false" ht="79.6" hidden="false" customHeight="false" outlineLevel="0" collapsed="false">
      <c r="B22" s="1" t="str">
        <f aca="false">UPPER(Prowler!C22)</f>
        <v/>
      </c>
      <c r="C22" s="1" t="str">
        <f aca="false">IF(Prowler!AL22&lt;&gt;"",Prowler!AL22, _xlfn.CONCAT("arn:aws:ec2:",F22,":",Prowler!AD22,":instance/",Prowler!AK22))</f>
        <v>arn:aws:ec2:::instance/</v>
      </c>
      <c r="F22" s="1" t="n">
        <f aca="false">Prowler!AJ22</f>
        <v>0</v>
      </c>
      <c r="G22" s="1" t="n">
        <f aca="false">Prowler!E22</f>
        <v>0</v>
      </c>
      <c r="H22" s="4" t="str">
        <f aca="false">_xlfn.TEXTJOIN(CHAR(10),1, Prowler!O22:Q22)</f>
        <v/>
      </c>
      <c r="I22" s="4" t="str">
        <f aca="false">_xlfn.TEXTJOIN(CHAR(10),1, Prowler!R22:W22)</f>
        <v/>
      </c>
      <c r="J22" s="1" t="n">
        <f aca="false">IF(Prowler!K22="critical",10, IF(Prowler!K22="high",7, IF(Prowler!K22="medium",5, 1)))</f>
        <v>1</v>
      </c>
      <c r="M22" s="3" t="n">
        <f aca="false">Prowler!A22</f>
        <v>0</v>
      </c>
      <c r="O22" s="4" t="str">
        <f aca="false">IF(Prowler!N22="", "", _xlfn.CONCAT("[{""key"":""",SUBSTITUTE(SUBSTITUTE(Prowler!N22,"=",""",""value"":""")," | ","""},{""key"":"""),"""}]"))</f>
        <v/>
      </c>
    </row>
    <row r="23" customFormat="false" ht="79.6" hidden="false" customHeight="false" outlineLevel="0" collapsed="false">
      <c r="B23" s="1" t="str">
        <f aca="false">UPPER(Prowler!C23)</f>
        <v/>
      </c>
      <c r="C23" s="1" t="str">
        <f aca="false">IF(Prowler!AL23&lt;&gt;"",Prowler!AL23, _xlfn.CONCAT("arn:aws:ec2:",F23,":",Prowler!AD23,":instance/",Prowler!AK23))</f>
        <v>arn:aws:ec2:::instance/</v>
      </c>
      <c r="F23" s="1" t="n">
        <f aca="false">Prowler!AJ23</f>
        <v>0</v>
      </c>
      <c r="G23" s="1" t="n">
        <f aca="false">Prowler!E23</f>
        <v>0</v>
      </c>
      <c r="H23" s="4" t="str">
        <f aca="false">_xlfn.TEXTJOIN(CHAR(10),1, Prowler!O23:Q23)</f>
        <v/>
      </c>
      <c r="I23" s="4" t="str">
        <f aca="false">_xlfn.TEXTJOIN(CHAR(10),1, Prowler!R23:W23)</f>
        <v/>
      </c>
      <c r="J23" s="1" t="n">
        <f aca="false">IF(Prowler!K23="critical",10, IF(Prowler!K23="high",7, IF(Prowler!K23="medium",5, 1)))</f>
        <v>1</v>
      </c>
      <c r="M23" s="3" t="n">
        <f aca="false">Prowler!A23</f>
        <v>0</v>
      </c>
      <c r="O23" s="4" t="str">
        <f aca="false">IF(Prowler!N23="", "", _xlfn.CONCAT("[{""key"":""",SUBSTITUTE(SUBSTITUTE(Prowler!N23,"=",""",""value"":""")," | ","""},{""key"":"""),"""}]"))</f>
        <v/>
      </c>
    </row>
    <row r="24" customFormat="false" ht="68.3" hidden="false" customHeight="false" outlineLevel="0" collapsed="false">
      <c r="B24" s="1" t="str">
        <f aca="false">UPPER(Prowler!C24)</f>
        <v/>
      </c>
      <c r="C24" s="1" t="str">
        <f aca="false">IF(Prowler!AL24&lt;&gt;"",Prowler!AL24, _xlfn.CONCAT("arn:aws:ec2:",F24,":",Prowler!AD24,":instance/",Prowler!AK24))</f>
        <v>arn:aws:ec2:::instance/</v>
      </c>
      <c r="F24" s="1" t="n">
        <f aca="false">Prowler!AJ24</f>
        <v>0</v>
      </c>
      <c r="G24" s="1" t="n">
        <f aca="false">Prowler!E24</f>
        <v>0</v>
      </c>
      <c r="H24" s="4" t="str">
        <f aca="false">_xlfn.TEXTJOIN(CHAR(10),1, Prowler!O24:Q24)</f>
        <v/>
      </c>
      <c r="I24" s="4" t="str">
        <f aca="false">_xlfn.TEXTJOIN(CHAR(10),1, Prowler!R24:W24)</f>
        <v/>
      </c>
      <c r="J24" s="1" t="n">
        <f aca="false">IF(Prowler!K24="critical",10, IF(Prowler!K24="high",7, IF(Prowler!K24="medium",5, 1)))</f>
        <v>1</v>
      </c>
      <c r="M24" s="3" t="n">
        <f aca="false">Prowler!A24</f>
        <v>0</v>
      </c>
      <c r="O24" s="4" t="str">
        <f aca="false">IF(Prowler!N24="", "", _xlfn.CONCAT("[{""key"":""",SUBSTITUTE(SUBSTITUTE(Prowler!N24,"=",""",""value"":""")," | ","""},{""key"":"""),"""}]"))</f>
        <v/>
      </c>
    </row>
    <row r="25" customFormat="false" ht="101.95" hidden="false" customHeight="false" outlineLevel="0" collapsed="false">
      <c r="B25" s="1" t="str">
        <f aca="false">UPPER(Prowler!C25)</f>
        <v/>
      </c>
      <c r="C25" s="1" t="str">
        <f aca="false">IF(Prowler!AL25&lt;&gt;"",Prowler!AL25, _xlfn.CONCAT("arn:aws:ec2:",F25,":",Prowler!AD25,":instance/",Prowler!AK25))</f>
        <v>arn:aws:ec2:::instance/</v>
      </c>
      <c r="F25" s="1" t="n">
        <f aca="false">Prowler!AJ25</f>
        <v>0</v>
      </c>
      <c r="G25" s="1" t="n">
        <f aca="false">Prowler!E25</f>
        <v>0</v>
      </c>
      <c r="H25" s="4" t="str">
        <f aca="false">_xlfn.TEXTJOIN(CHAR(10),1, Prowler!O25:Q25)</f>
        <v/>
      </c>
      <c r="I25" s="4" t="str">
        <f aca="false">_xlfn.TEXTJOIN(CHAR(10),1, Prowler!R25:W25)</f>
        <v/>
      </c>
      <c r="J25" s="1" t="n">
        <f aca="false">IF(Prowler!K25="critical",10, IF(Prowler!K25="high",7, IF(Prowler!K25="medium",5, 1)))</f>
        <v>1</v>
      </c>
      <c r="M25" s="3" t="n">
        <f aca="false">Prowler!A25</f>
        <v>0</v>
      </c>
      <c r="O25" s="4" t="str">
        <f aca="false">IF(Prowler!N25="", "", _xlfn.CONCAT("[{""key"":""",SUBSTITUTE(SUBSTITUTE(Prowler!N25,"=",""",""value"":""")," | ","""},{""key"":"""),"""}]"))</f>
        <v/>
      </c>
    </row>
    <row r="26" customFormat="false" ht="113.05" hidden="false" customHeight="false" outlineLevel="0" collapsed="false">
      <c r="B26" s="1" t="str">
        <f aca="false">UPPER(Prowler!C26)</f>
        <v/>
      </c>
      <c r="C26" s="1" t="str">
        <f aca="false">IF(Prowler!AL26&lt;&gt;"",Prowler!AL26, _xlfn.CONCAT("arn:aws:ec2:",F26,":",Prowler!AD26,":instance/",Prowler!AK26))</f>
        <v>arn:aws:ec2:::instance/</v>
      </c>
      <c r="F26" s="1" t="n">
        <f aca="false">Prowler!AJ26</f>
        <v>0</v>
      </c>
      <c r="G26" s="1" t="n">
        <f aca="false">Prowler!E26</f>
        <v>0</v>
      </c>
      <c r="H26" s="4" t="str">
        <f aca="false">_xlfn.TEXTJOIN(CHAR(10),1, Prowler!O26:Q26)</f>
        <v/>
      </c>
      <c r="I26" s="4" t="str">
        <f aca="false">_xlfn.TEXTJOIN(CHAR(10),1, Prowler!R26:W26)</f>
        <v/>
      </c>
      <c r="J26" s="1" t="n">
        <f aca="false">IF(Prowler!K26="critical",10, IF(Prowler!K26="high",7, IF(Prowler!K26="medium",5, 1)))</f>
        <v>1</v>
      </c>
      <c r="M26" s="3" t="n">
        <f aca="false">Prowler!A26</f>
        <v>0</v>
      </c>
      <c r="O26" s="4" t="str">
        <f aca="false">IF(Prowler!N26="", "", _xlfn.CONCAT("[{""key"":""",SUBSTITUTE(SUBSTITUTE(Prowler!N26,"=",""",""value"":""")," | ","""},{""key"":"""),"""}]"))</f>
        <v/>
      </c>
    </row>
    <row r="27" customFormat="false" ht="113.05" hidden="false" customHeight="false" outlineLevel="0" collapsed="false">
      <c r="B27" s="1" t="str">
        <f aca="false">UPPER(Prowler!C27)</f>
        <v/>
      </c>
      <c r="C27" s="1" t="str">
        <f aca="false">IF(Prowler!AL27&lt;&gt;"",Prowler!AL27, _xlfn.CONCAT("arn:aws:ec2:",F27,":",Prowler!AD27,":instance/",Prowler!AK27))</f>
        <v>arn:aws:ec2:::instance/</v>
      </c>
      <c r="F27" s="1" t="n">
        <f aca="false">Prowler!AJ27</f>
        <v>0</v>
      </c>
      <c r="G27" s="1" t="n">
        <f aca="false">Prowler!E27</f>
        <v>0</v>
      </c>
      <c r="H27" s="4" t="str">
        <f aca="false">_xlfn.TEXTJOIN(CHAR(10),1, Prowler!O27:Q27)</f>
        <v/>
      </c>
      <c r="I27" s="4" t="str">
        <f aca="false">_xlfn.TEXTJOIN(CHAR(10),1, Prowler!R27:W27)</f>
        <v/>
      </c>
      <c r="J27" s="1" t="n">
        <f aca="false">IF(Prowler!K27="critical",10, IF(Prowler!K27="high",7, IF(Prowler!K27="medium",5, 1)))</f>
        <v>1</v>
      </c>
      <c r="M27" s="3" t="n">
        <f aca="false">Prowler!A27</f>
        <v>0</v>
      </c>
      <c r="O27" s="4" t="str">
        <f aca="false">IF(Prowler!N27="", "", _xlfn.CONCAT("[{""key"":""",SUBSTITUTE(SUBSTITUTE(Prowler!N27,"=",""",""value"":""")," | ","""},{""key"":"""),"""}]"))</f>
        <v/>
      </c>
    </row>
    <row r="28" customFormat="false" ht="113.05" hidden="false" customHeight="false" outlineLevel="0" collapsed="false">
      <c r="B28" s="1" t="str">
        <f aca="false">UPPER(Prowler!C28)</f>
        <v/>
      </c>
      <c r="C28" s="1" t="str">
        <f aca="false">IF(Prowler!AL28&lt;&gt;"",Prowler!AL28, _xlfn.CONCAT("arn:aws:ec2:",F28,":",Prowler!AD28,":instance/",Prowler!AK28))</f>
        <v>arn:aws:ec2:::instance/</v>
      </c>
      <c r="F28" s="1" t="n">
        <f aca="false">Prowler!AJ28</f>
        <v>0</v>
      </c>
      <c r="G28" s="1" t="n">
        <f aca="false">Prowler!E28</f>
        <v>0</v>
      </c>
      <c r="H28" s="4" t="str">
        <f aca="false">_xlfn.TEXTJOIN(CHAR(10),1, Prowler!O28:Q28)</f>
        <v/>
      </c>
      <c r="I28" s="4" t="str">
        <f aca="false">_xlfn.TEXTJOIN(CHAR(10),1, Prowler!R28:W28)</f>
        <v/>
      </c>
      <c r="J28" s="1" t="n">
        <f aca="false">IF(Prowler!K28="critical",10, IF(Prowler!K28="high",7, IF(Prowler!K28="medium",5, 1)))</f>
        <v>1</v>
      </c>
      <c r="M28" s="3" t="n">
        <f aca="false">Prowler!A28</f>
        <v>0</v>
      </c>
      <c r="O28" s="4" t="str">
        <f aca="false">IF(Prowler!N28="", "", _xlfn.CONCAT("[{""key"":""",SUBSTITUTE(SUBSTITUTE(Prowler!N28,"=",""",""value"":""")," | ","""},{""key"":"""),"""}]"))</f>
        <v/>
      </c>
    </row>
    <row r="29" customFormat="false" ht="113.05" hidden="false" customHeight="false" outlineLevel="0" collapsed="false">
      <c r="B29" s="1" t="str">
        <f aca="false">UPPER(Prowler!C29)</f>
        <v/>
      </c>
      <c r="C29" s="1" t="str">
        <f aca="false">IF(Prowler!AL29&lt;&gt;"",Prowler!AL29, _xlfn.CONCAT("arn:aws:ec2:",F29,":",Prowler!AD29,":instance/",Prowler!AK29))</f>
        <v>arn:aws:ec2:::instance/</v>
      </c>
      <c r="F29" s="1" t="n">
        <f aca="false">Prowler!AJ29</f>
        <v>0</v>
      </c>
      <c r="G29" s="1" t="n">
        <f aca="false">Prowler!E29</f>
        <v>0</v>
      </c>
      <c r="H29" s="4" t="str">
        <f aca="false">_xlfn.TEXTJOIN(CHAR(10),1, Prowler!O29:Q29)</f>
        <v/>
      </c>
      <c r="I29" s="4" t="str">
        <f aca="false">_xlfn.TEXTJOIN(CHAR(10),1, Prowler!R29:W29)</f>
        <v/>
      </c>
      <c r="J29" s="1" t="n">
        <f aca="false">IF(Prowler!K29="critical",10, IF(Prowler!K29="high",7, IF(Prowler!K29="medium",5, 1)))</f>
        <v>1</v>
      </c>
      <c r="M29" s="3" t="n">
        <f aca="false">Prowler!A29</f>
        <v>0</v>
      </c>
      <c r="O29" s="4" t="str">
        <f aca="false">IF(Prowler!N29="", "", _xlfn.CONCAT("[{""key"":""",SUBSTITUTE(SUBSTITUTE(Prowler!N29,"=",""",""value"":""")," | ","""},{""key"":"""),"""}]"))</f>
        <v/>
      </c>
    </row>
    <row r="30" customFormat="false" ht="113.05" hidden="false" customHeight="false" outlineLevel="0" collapsed="false">
      <c r="B30" s="1" t="str">
        <f aca="false">UPPER(Prowler!C30)</f>
        <v/>
      </c>
      <c r="C30" s="1" t="str">
        <f aca="false">IF(Prowler!AL30&lt;&gt;"",Prowler!AL30, _xlfn.CONCAT("arn:aws:ec2:",F30,":",Prowler!AD30,":instance/",Prowler!AK30))</f>
        <v>arn:aws:ec2:::instance/</v>
      </c>
      <c r="F30" s="1" t="n">
        <f aca="false">Prowler!AJ30</f>
        <v>0</v>
      </c>
      <c r="G30" s="1" t="n">
        <f aca="false">Prowler!E30</f>
        <v>0</v>
      </c>
      <c r="H30" s="4" t="str">
        <f aca="false">_xlfn.TEXTJOIN(CHAR(10),1, Prowler!O30:Q30)</f>
        <v/>
      </c>
      <c r="I30" s="4" t="str">
        <f aca="false">_xlfn.TEXTJOIN(CHAR(10),1, Prowler!R30:W30)</f>
        <v/>
      </c>
      <c r="J30" s="1" t="n">
        <f aca="false">IF(Prowler!K30="critical",10, IF(Prowler!K30="high",7, IF(Prowler!K30="medium",5, 1)))</f>
        <v>1</v>
      </c>
      <c r="M30" s="3" t="n">
        <f aca="false">Prowler!A30</f>
        <v>0</v>
      </c>
      <c r="O30" s="4" t="str">
        <f aca="false">IF(Prowler!N30="", "", _xlfn.CONCAT("[{""key"":""",SUBSTITUTE(SUBSTITUTE(Prowler!N30,"=",""",""value"":""")," | ","""},{""key"":"""),"""}]"))</f>
        <v/>
      </c>
    </row>
    <row r="31" customFormat="false" ht="113.05" hidden="false" customHeight="false" outlineLevel="0" collapsed="false">
      <c r="B31" s="1" t="str">
        <f aca="false">UPPER(Prowler!C31)</f>
        <v/>
      </c>
      <c r="C31" s="1" t="str">
        <f aca="false">IF(Prowler!AL31&lt;&gt;"",Prowler!AL31, _xlfn.CONCAT("arn:aws:ec2:",F31,":",Prowler!AD31,":instance/",Prowler!AK31))</f>
        <v>arn:aws:ec2:::instance/</v>
      </c>
      <c r="F31" s="1" t="n">
        <f aca="false">Prowler!AJ31</f>
        <v>0</v>
      </c>
      <c r="G31" s="1" t="n">
        <f aca="false">Prowler!E31</f>
        <v>0</v>
      </c>
      <c r="H31" s="4" t="str">
        <f aca="false">_xlfn.TEXTJOIN(CHAR(10),1, Prowler!O31:Q31)</f>
        <v/>
      </c>
      <c r="I31" s="4" t="str">
        <f aca="false">_xlfn.TEXTJOIN(CHAR(10),1, Prowler!R31:W31)</f>
        <v/>
      </c>
      <c r="J31" s="1" t="n">
        <f aca="false">IF(Prowler!K31="critical",10, IF(Prowler!K31="high",7, IF(Prowler!K31="medium",5, 1)))</f>
        <v>1</v>
      </c>
      <c r="M31" s="3" t="n">
        <f aca="false">Prowler!A31</f>
        <v>0</v>
      </c>
      <c r="O31" s="4" t="str">
        <f aca="false">IF(Prowler!N31="", "", _xlfn.CONCAT("[{""key"":""",SUBSTITUTE(SUBSTITUTE(Prowler!N31,"=",""",""value"":""")," | ","""},{""key"":"""),"""}]"))</f>
        <v/>
      </c>
    </row>
    <row r="32" customFormat="false" ht="113.05" hidden="false" customHeight="false" outlineLevel="0" collapsed="false">
      <c r="B32" s="1" t="str">
        <f aca="false">UPPER(Prowler!C32)</f>
        <v/>
      </c>
      <c r="C32" s="1" t="str">
        <f aca="false">IF(Prowler!AL32&lt;&gt;"",Prowler!AL32, _xlfn.CONCAT("arn:aws:ec2:",F32,":",Prowler!AD32,":instance/",Prowler!AK32))</f>
        <v>arn:aws:ec2:::instance/</v>
      </c>
      <c r="F32" s="1" t="n">
        <f aca="false">Prowler!AJ32</f>
        <v>0</v>
      </c>
      <c r="G32" s="1" t="n">
        <f aca="false">Prowler!E32</f>
        <v>0</v>
      </c>
      <c r="H32" s="4" t="str">
        <f aca="false">_xlfn.TEXTJOIN(CHAR(10),1, Prowler!O32:Q32)</f>
        <v/>
      </c>
      <c r="I32" s="4" t="str">
        <f aca="false">_xlfn.TEXTJOIN(CHAR(10),1, Prowler!R32:W32)</f>
        <v/>
      </c>
      <c r="J32" s="1" t="n">
        <f aca="false">IF(Prowler!K32="critical",10, IF(Prowler!K32="high",7, IF(Prowler!K32="medium",5, 1)))</f>
        <v>1</v>
      </c>
      <c r="M32" s="3" t="n">
        <f aca="false">Prowler!A32</f>
        <v>0</v>
      </c>
      <c r="O32" s="4" t="str">
        <f aca="false">IF(Prowler!N32="", "", _xlfn.CONCAT("[{""key"":""",SUBSTITUTE(SUBSTITUTE(Prowler!N32,"=",""",""value"":""")," | ","""},{""key"":"""),"""}]"))</f>
        <v/>
      </c>
    </row>
    <row r="33" customFormat="false" ht="113.05" hidden="false" customHeight="false" outlineLevel="0" collapsed="false">
      <c r="B33" s="1" t="str">
        <f aca="false">UPPER(Prowler!C33)</f>
        <v/>
      </c>
      <c r="C33" s="1" t="str">
        <f aca="false">IF(Prowler!AL33&lt;&gt;"",Prowler!AL33, _xlfn.CONCAT("arn:aws:ec2:",F33,":",Prowler!AD33,":instance/",Prowler!AK33))</f>
        <v>arn:aws:ec2:::instance/</v>
      </c>
      <c r="F33" s="1" t="n">
        <f aca="false">Prowler!AJ33</f>
        <v>0</v>
      </c>
      <c r="G33" s="1" t="n">
        <f aca="false">Prowler!E33</f>
        <v>0</v>
      </c>
      <c r="H33" s="4" t="str">
        <f aca="false">_xlfn.TEXTJOIN(CHAR(10),1, Prowler!O33:Q33)</f>
        <v/>
      </c>
      <c r="I33" s="4" t="str">
        <f aca="false">_xlfn.TEXTJOIN(CHAR(10),1, Prowler!R33:W33)</f>
        <v/>
      </c>
      <c r="J33" s="1" t="n">
        <f aca="false">IF(Prowler!K33="critical",10, IF(Prowler!K33="high",7, IF(Prowler!K33="medium",5, 1)))</f>
        <v>1</v>
      </c>
      <c r="M33" s="3" t="n">
        <f aca="false">Prowler!A33</f>
        <v>0</v>
      </c>
      <c r="O33" s="4" t="str">
        <f aca="false">IF(Prowler!N33="", "", _xlfn.CONCAT("[{""key"":""",SUBSTITUTE(SUBSTITUTE(Prowler!N33,"=",""",""value"":""")," | ","""},{""key"":"""),"""}]"))</f>
        <v/>
      </c>
    </row>
    <row r="34" customFormat="false" ht="113.05" hidden="false" customHeight="false" outlineLevel="0" collapsed="false">
      <c r="B34" s="1" t="str">
        <f aca="false">UPPER(Prowler!C34)</f>
        <v/>
      </c>
      <c r="C34" s="1" t="str">
        <f aca="false">IF(Prowler!AL34&lt;&gt;"",Prowler!AL34, _xlfn.CONCAT("arn:aws:ec2:",F34,":",Prowler!AD34,":instance/",Prowler!AK34))</f>
        <v>arn:aws:ec2:::instance/</v>
      </c>
      <c r="F34" s="1" t="n">
        <f aca="false">Prowler!AJ34</f>
        <v>0</v>
      </c>
      <c r="G34" s="1" t="n">
        <f aca="false">Prowler!E34</f>
        <v>0</v>
      </c>
      <c r="H34" s="4" t="str">
        <f aca="false">_xlfn.TEXTJOIN(CHAR(10),1, Prowler!O34:Q34)</f>
        <v/>
      </c>
      <c r="I34" s="4" t="str">
        <f aca="false">_xlfn.TEXTJOIN(CHAR(10),1, Prowler!R34:W34)</f>
        <v/>
      </c>
      <c r="J34" s="1" t="n">
        <f aca="false">IF(Prowler!K34="critical",10, IF(Prowler!K34="high",7, IF(Prowler!K34="medium",5, 1)))</f>
        <v>1</v>
      </c>
      <c r="M34" s="3" t="n">
        <f aca="false">Prowler!A34</f>
        <v>0</v>
      </c>
      <c r="O34" s="4" t="str">
        <f aca="false">IF(Prowler!N34="", "", _xlfn.CONCAT("[{""key"":""",SUBSTITUTE(SUBSTITUTE(Prowler!N34,"=",""",""value"":""")," | ","""},{""key"":"""),"""}]"))</f>
        <v/>
      </c>
    </row>
    <row r="35" customFormat="false" ht="113.05" hidden="false" customHeight="false" outlineLevel="0" collapsed="false">
      <c r="B35" s="1" t="str">
        <f aca="false">UPPER(Prowler!C35)</f>
        <v/>
      </c>
      <c r="C35" s="1" t="str">
        <f aca="false">IF(Prowler!AL35&lt;&gt;"",Prowler!AL35, _xlfn.CONCAT("arn:aws:ec2:",F35,":",Prowler!AD35,":instance/",Prowler!AK35))</f>
        <v>arn:aws:ec2:::instance/</v>
      </c>
      <c r="F35" s="1" t="n">
        <f aca="false">Prowler!AJ35</f>
        <v>0</v>
      </c>
      <c r="G35" s="1" t="n">
        <f aca="false">Prowler!E35</f>
        <v>0</v>
      </c>
      <c r="H35" s="4" t="str">
        <f aca="false">_xlfn.TEXTJOIN(CHAR(10),1, Prowler!O35:Q35)</f>
        <v/>
      </c>
      <c r="I35" s="4" t="str">
        <f aca="false">_xlfn.TEXTJOIN(CHAR(10),1, Prowler!R35:W35)</f>
        <v/>
      </c>
      <c r="J35" s="1" t="n">
        <f aca="false">IF(Prowler!K35="critical",10, IF(Prowler!K35="high",7, IF(Prowler!K35="medium",5, 1)))</f>
        <v>1</v>
      </c>
      <c r="M35" s="3" t="n">
        <f aca="false">Prowler!A35</f>
        <v>0</v>
      </c>
      <c r="O35" s="4" t="str">
        <f aca="false">IF(Prowler!N35="", "", _xlfn.CONCAT("[{""key"":""",SUBSTITUTE(SUBSTITUTE(Prowler!N35,"=",""",""value"":""")," | ","""},{""key"":"""),"""}]"))</f>
        <v/>
      </c>
    </row>
    <row r="36" customFormat="false" ht="113.05" hidden="false" customHeight="false" outlineLevel="0" collapsed="false">
      <c r="B36" s="1" t="str">
        <f aca="false">UPPER(Prowler!C36)</f>
        <v/>
      </c>
      <c r="C36" s="1" t="str">
        <f aca="false">IF(Prowler!AL36&lt;&gt;"",Prowler!AL36, _xlfn.CONCAT("arn:aws:ec2:",F36,":",Prowler!AD36,":instance/",Prowler!AK36))</f>
        <v>arn:aws:ec2:::instance/</v>
      </c>
      <c r="F36" s="1" t="n">
        <f aca="false">Prowler!AJ36</f>
        <v>0</v>
      </c>
      <c r="G36" s="1" t="n">
        <f aca="false">Prowler!E36</f>
        <v>0</v>
      </c>
      <c r="H36" s="4" t="str">
        <f aca="false">_xlfn.TEXTJOIN(CHAR(10),1, Prowler!O36:Q36)</f>
        <v/>
      </c>
      <c r="I36" s="4" t="str">
        <f aca="false">_xlfn.TEXTJOIN(CHAR(10),1, Prowler!R36:W36)</f>
        <v/>
      </c>
      <c r="J36" s="1" t="n">
        <f aca="false">IF(Prowler!K36="critical",10, IF(Prowler!K36="high",7, IF(Prowler!K36="medium",5, 1)))</f>
        <v>1</v>
      </c>
      <c r="M36" s="3" t="n">
        <f aca="false">Prowler!A36</f>
        <v>0</v>
      </c>
      <c r="O36" s="4" t="str">
        <f aca="false">IF(Prowler!N36="", "", _xlfn.CONCAT("[{""key"":""",SUBSTITUTE(SUBSTITUTE(Prowler!N36,"=",""",""value"":""")," | ","""},{""key"":"""),"""}]"))</f>
        <v/>
      </c>
    </row>
    <row r="37" customFormat="false" ht="113.05" hidden="false" customHeight="false" outlineLevel="0" collapsed="false">
      <c r="B37" s="1" t="str">
        <f aca="false">UPPER(Prowler!C37)</f>
        <v/>
      </c>
      <c r="C37" s="1" t="str">
        <f aca="false">IF(Prowler!AL37&lt;&gt;"",Prowler!AL37, _xlfn.CONCAT("arn:aws:ec2:",F37,":",Prowler!AD37,":instance/",Prowler!AK37))</f>
        <v>arn:aws:ec2:::instance/</v>
      </c>
      <c r="F37" s="1" t="n">
        <f aca="false">Prowler!AJ37</f>
        <v>0</v>
      </c>
      <c r="G37" s="1" t="n">
        <f aca="false">Prowler!E37</f>
        <v>0</v>
      </c>
      <c r="H37" s="4" t="str">
        <f aca="false">_xlfn.TEXTJOIN(CHAR(10),1, Prowler!O37:Q37)</f>
        <v/>
      </c>
      <c r="I37" s="4" t="str">
        <f aca="false">_xlfn.TEXTJOIN(CHAR(10),1, Prowler!R37:W37)</f>
        <v/>
      </c>
      <c r="J37" s="1" t="n">
        <f aca="false">IF(Prowler!K37="critical",10, IF(Prowler!K37="high",7, IF(Prowler!K37="medium",5, 1)))</f>
        <v>1</v>
      </c>
      <c r="M37" s="3" t="n">
        <f aca="false">Prowler!A37</f>
        <v>0</v>
      </c>
      <c r="O37" s="4" t="str">
        <f aca="false">IF(Prowler!N37="", "", _xlfn.CONCAT("[{""key"":""",SUBSTITUTE(SUBSTITUTE(Prowler!N37,"=",""",""value"":""")," | ","""},{""key"":"""),"""}]"))</f>
        <v/>
      </c>
    </row>
    <row r="38" customFormat="false" ht="113.05" hidden="false" customHeight="false" outlineLevel="0" collapsed="false">
      <c r="B38" s="1" t="str">
        <f aca="false">UPPER(Prowler!C38)</f>
        <v/>
      </c>
      <c r="C38" s="1" t="str">
        <f aca="false">IF(Prowler!AL38&lt;&gt;"",Prowler!AL38, _xlfn.CONCAT("arn:aws:ec2:",F38,":",Prowler!AD38,":instance/",Prowler!AK38))</f>
        <v>arn:aws:ec2:::instance/</v>
      </c>
      <c r="F38" s="1" t="n">
        <f aca="false">Prowler!AJ38</f>
        <v>0</v>
      </c>
      <c r="G38" s="1" t="n">
        <f aca="false">Prowler!E38</f>
        <v>0</v>
      </c>
      <c r="H38" s="4" t="str">
        <f aca="false">_xlfn.TEXTJOIN(CHAR(10),1, Prowler!O38:Q38)</f>
        <v/>
      </c>
      <c r="I38" s="4" t="str">
        <f aca="false">_xlfn.TEXTJOIN(CHAR(10),1, Prowler!R38:W38)</f>
        <v/>
      </c>
      <c r="J38" s="1" t="n">
        <f aca="false">IF(Prowler!K38="critical",10, IF(Prowler!K38="high",7, IF(Prowler!K38="medium",5, 1)))</f>
        <v>1</v>
      </c>
      <c r="M38" s="3" t="n">
        <f aca="false">Prowler!A38</f>
        <v>0</v>
      </c>
      <c r="O38" s="4" t="str">
        <f aca="false">IF(Prowler!N38="", "", _xlfn.CONCAT("[{""key"":""",SUBSTITUTE(SUBSTITUTE(Prowler!N38,"=",""",""value"":""")," | ","""},{""key"":"""),"""}]"))</f>
        <v/>
      </c>
    </row>
    <row r="39" customFormat="false" ht="113.05" hidden="false" customHeight="false" outlineLevel="0" collapsed="false">
      <c r="B39" s="1" t="str">
        <f aca="false">UPPER(Prowler!C39)</f>
        <v/>
      </c>
      <c r="C39" s="1" t="str">
        <f aca="false">IF(Prowler!AL39&lt;&gt;"",Prowler!AL39, _xlfn.CONCAT("arn:aws:ec2:",F39,":",Prowler!AD39,":instance/",Prowler!AK39))</f>
        <v>arn:aws:ec2:::instance/</v>
      </c>
      <c r="F39" s="1" t="n">
        <f aca="false">Prowler!AJ39</f>
        <v>0</v>
      </c>
      <c r="G39" s="1" t="n">
        <f aca="false">Prowler!E39</f>
        <v>0</v>
      </c>
      <c r="H39" s="4" t="str">
        <f aca="false">_xlfn.TEXTJOIN(CHAR(10),1, Prowler!O39:Q39)</f>
        <v/>
      </c>
      <c r="I39" s="4" t="str">
        <f aca="false">_xlfn.TEXTJOIN(CHAR(10),1, Prowler!R39:W39)</f>
        <v/>
      </c>
      <c r="J39" s="1" t="n">
        <f aca="false">IF(Prowler!K39="critical",10, IF(Prowler!K39="high",7, IF(Prowler!K39="medium",5, 1)))</f>
        <v>1</v>
      </c>
      <c r="M39" s="3" t="n">
        <f aca="false">Prowler!A39</f>
        <v>0</v>
      </c>
      <c r="O39" s="4" t="str">
        <f aca="false">IF(Prowler!N39="", "", _xlfn.CONCAT("[{""key"":""",SUBSTITUTE(SUBSTITUTE(Prowler!N39,"=",""",""value"":""")," | ","""},{""key"":"""),"""}]"))</f>
        <v/>
      </c>
    </row>
    <row r="40" customFormat="false" ht="113.05" hidden="false" customHeight="false" outlineLevel="0" collapsed="false">
      <c r="B40" s="1" t="str">
        <f aca="false">UPPER(Prowler!C40)</f>
        <v/>
      </c>
      <c r="C40" s="1" t="str">
        <f aca="false">IF(Prowler!AL40&lt;&gt;"",Prowler!AL40, _xlfn.CONCAT("arn:aws:ec2:",F40,":",Prowler!AD40,":instance/",Prowler!AK40))</f>
        <v>arn:aws:ec2:::instance/</v>
      </c>
      <c r="F40" s="1" t="n">
        <f aca="false">Prowler!AJ40</f>
        <v>0</v>
      </c>
      <c r="G40" s="1" t="n">
        <f aca="false">Prowler!E40</f>
        <v>0</v>
      </c>
      <c r="H40" s="4" t="str">
        <f aca="false">_xlfn.TEXTJOIN(CHAR(10),1, Prowler!O40:Q40)</f>
        <v/>
      </c>
      <c r="I40" s="4" t="str">
        <f aca="false">_xlfn.TEXTJOIN(CHAR(10),1, Prowler!R40:W40)</f>
        <v/>
      </c>
      <c r="J40" s="1" t="n">
        <f aca="false">IF(Prowler!K40="critical",10, IF(Prowler!K40="high",7, IF(Prowler!K40="medium",5, 1)))</f>
        <v>1</v>
      </c>
      <c r="M40" s="3" t="n">
        <f aca="false">Prowler!A40</f>
        <v>0</v>
      </c>
      <c r="O40" s="4" t="str">
        <f aca="false">IF(Prowler!N40="", "", _xlfn.CONCAT("[{""key"":""",SUBSTITUTE(SUBSTITUTE(Prowler!N40,"=",""",""value"":""")," | ","""},{""key"":"""),"""}]"))</f>
        <v/>
      </c>
    </row>
    <row r="41" customFormat="false" ht="113.05" hidden="false" customHeight="false" outlineLevel="0" collapsed="false">
      <c r="B41" s="1" t="str">
        <f aca="false">UPPER(Prowler!C41)</f>
        <v/>
      </c>
      <c r="C41" s="1" t="str">
        <f aca="false">IF(Prowler!AL41&lt;&gt;"",Prowler!AL41, _xlfn.CONCAT("arn:aws:ec2:",F41,":",Prowler!AD41,":instance/",Prowler!AK41))</f>
        <v>arn:aws:ec2:::instance/</v>
      </c>
      <c r="F41" s="1" t="n">
        <f aca="false">Prowler!AJ41</f>
        <v>0</v>
      </c>
      <c r="G41" s="1" t="n">
        <f aca="false">Prowler!E41</f>
        <v>0</v>
      </c>
      <c r="H41" s="4" t="str">
        <f aca="false">_xlfn.TEXTJOIN(CHAR(10),1, Prowler!O41:Q41)</f>
        <v/>
      </c>
      <c r="I41" s="4" t="str">
        <f aca="false">_xlfn.TEXTJOIN(CHAR(10),1, Prowler!R41:W41)</f>
        <v/>
      </c>
      <c r="J41" s="1" t="n">
        <f aca="false">IF(Prowler!K41="critical",10, IF(Prowler!K41="high",7, IF(Prowler!K41="medium",5, 1)))</f>
        <v>1</v>
      </c>
      <c r="M41" s="3" t="n">
        <f aca="false">Prowler!A41</f>
        <v>0</v>
      </c>
      <c r="O41" s="4" t="str">
        <f aca="false">IF(Prowler!N41="", "", _xlfn.CONCAT("[{""key"":""",SUBSTITUTE(SUBSTITUTE(Prowler!N41,"=",""",""value"":""")," | ","""},{""key"":"""),"""}]"))</f>
        <v/>
      </c>
    </row>
    <row r="42" customFormat="false" ht="113.05" hidden="false" customHeight="false" outlineLevel="0" collapsed="false">
      <c r="B42" s="1" t="str">
        <f aca="false">UPPER(Prowler!C42)</f>
        <v/>
      </c>
      <c r="C42" s="1" t="str">
        <f aca="false">IF(Prowler!AL42&lt;&gt;"",Prowler!AL42, _xlfn.CONCAT("arn:aws:ec2:",F42,":",Prowler!AD42,":instance/",Prowler!AK42))</f>
        <v>arn:aws:ec2:::instance/</v>
      </c>
      <c r="F42" s="1" t="n">
        <f aca="false">Prowler!AJ42</f>
        <v>0</v>
      </c>
      <c r="G42" s="1" t="n">
        <f aca="false">Prowler!E42</f>
        <v>0</v>
      </c>
      <c r="H42" s="4" t="str">
        <f aca="false">_xlfn.TEXTJOIN(CHAR(10),1, Prowler!O42:Q42)</f>
        <v/>
      </c>
      <c r="I42" s="4" t="str">
        <f aca="false">_xlfn.TEXTJOIN(CHAR(10),1, Prowler!R42:W42)</f>
        <v/>
      </c>
      <c r="J42" s="1" t="n">
        <f aca="false">IF(Prowler!K42="critical",10, IF(Prowler!K42="high",7, IF(Prowler!K42="medium",5, 1)))</f>
        <v>1</v>
      </c>
      <c r="M42" s="3" t="n">
        <f aca="false">Prowler!A42</f>
        <v>0</v>
      </c>
      <c r="O42" s="4" t="str">
        <f aca="false">IF(Prowler!N42="", "", _xlfn.CONCAT("[{""key"":""",SUBSTITUTE(SUBSTITUTE(Prowler!N42,"=",""",""value"":""")," | ","""},{""key"":"""),"""}]"))</f>
        <v/>
      </c>
    </row>
    <row r="43" customFormat="false" ht="90.7" hidden="false" customHeight="false" outlineLevel="0" collapsed="false">
      <c r="B43" s="1" t="str">
        <f aca="false">UPPER(Prowler!C43)</f>
        <v/>
      </c>
      <c r="C43" s="1" t="str">
        <f aca="false">IF(Prowler!AL43&lt;&gt;"",Prowler!AL43, _xlfn.CONCAT("arn:aws:ec2:",F43,":",Prowler!AD43,":instance/",Prowler!AK43))</f>
        <v>arn:aws:ec2:::instance/</v>
      </c>
      <c r="F43" s="1" t="n">
        <f aca="false">Prowler!AJ43</f>
        <v>0</v>
      </c>
      <c r="G43" s="1" t="n">
        <f aca="false">Prowler!E43</f>
        <v>0</v>
      </c>
      <c r="H43" s="4" t="str">
        <f aca="false">_xlfn.TEXTJOIN(CHAR(10),1, Prowler!O43:Q43)</f>
        <v/>
      </c>
      <c r="I43" s="4" t="str">
        <f aca="false">_xlfn.TEXTJOIN(CHAR(10),1, Prowler!R43:W43)</f>
        <v/>
      </c>
      <c r="J43" s="1" t="n">
        <f aca="false">IF(Prowler!K43="critical",10, IF(Prowler!K43="high",7, IF(Prowler!K43="medium",5, 1)))</f>
        <v>1</v>
      </c>
      <c r="M43" s="3" t="n">
        <f aca="false">Prowler!A43</f>
        <v>0</v>
      </c>
      <c r="O43" s="4" t="str">
        <f aca="false">IF(Prowler!N43="", "", _xlfn.CONCAT("[{""key"":""",SUBSTITUTE(SUBSTITUTE(Prowler!N43,"=",""",""value"":""")," | ","""},{""key"":"""),"""}]"))</f>
        <v/>
      </c>
    </row>
    <row r="44" customFormat="false" ht="90.7" hidden="false" customHeight="false" outlineLevel="0" collapsed="false">
      <c r="B44" s="1" t="str">
        <f aca="false">UPPER(Prowler!C44)</f>
        <v/>
      </c>
      <c r="C44" s="1" t="str">
        <f aca="false">IF(Prowler!AL44&lt;&gt;"",Prowler!AL44, _xlfn.CONCAT("arn:aws:ec2:",F44,":",Prowler!AD44,":instance/",Prowler!AK44))</f>
        <v>arn:aws:ec2:::instance/</v>
      </c>
      <c r="F44" s="1" t="n">
        <f aca="false">Prowler!AJ44</f>
        <v>0</v>
      </c>
      <c r="G44" s="1" t="n">
        <f aca="false">Prowler!E44</f>
        <v>0</v>
      </c>
      <c r="H44" s="4" t="str">
        <f aca="false">_xlfn.TEXTJOIN(CHAR(10),1, Prowler!O44:Q44)</f>
        <v/>
      </c>
      <c r="I44" s="4" t="str">
        <f aca="false">_xlfn.TEXTJOIN(CHAR(10),1, Prowler!R44:W44)</f>
        <v/>
      </c>
      <c r="J44" s="1" t="n">
        <f aca="false">IF(Prowler!K44="critical",10, IF(Prowler!K44="high",7, IF(Prowler!K44="medium",5, 1)))</f>
        <v>1</v>
      </c>
      <c r="M44" s="3" t="n">
        <f aca="false">Prowler!A44</f>
        <v>0</v>
      </c>
      <c r="O44" s="4" t="str">
        <f aca="false">IF(Prowler!N44="", "", _xlfn.CONCAT("[{""key"":""",SUBSTITUTE(SUBSTITUTE(Prowler!N44,"=",""",""value"":""")," | ","""},{""key"":"""),"""}]"))</f>
        <v/>
      </c>
    </row>
    <row r="45" customFormat="false" ht="79.75" hidden="false" customHeight="false" outlineLevel="0" collapsed="false">
      <c r="B45" s="1" t="str">
        <f aca="false">UPPER(Prowler!C45)</f>
        <v/>
      </c>
      <c r="C45" s="1" t="str">
        <f aca="false">IF(Prowler!AL45&lt;&gt;"",Prowler!AL45, _xlfn.CONCAT("arn:aws:ec2:",F45,":",Prowler!AD45,":instance/",Prowler!AK45))</f>
        <v>arn:aws:ec2:::instance/</v>
      </c>
      <c r="F45" s="1" t="n">
        <f aca="false">Prowler!AJ45</f>
        <v>0</v>
      </c>
      <c r="G45" s="1" t="n">
        <f aca="false">Prowler!E45</f>
        <v>0</v>
      </c>
      <c r="H45" s="4" t="str">
        <f aca="false">_xlfn.TEXTJOIN(CHAR(10),1, Prowler!O45:Q45)</f>
        <v/>
      </c>
      <c r="I45" s="4" t="str">
        <f aca="false">_xlfn.TEXTJOIN(CHAR(10),1, Prowler!R45:W45)</f>
        <v/>
      </c>
      <c r="J45" s="1" t="n">
        <f aca="false">IF(Prowler!K45="critical",10, IF(Prowler!K45="high",7, IF(Prowler!K45="medium",5, 1)))</f>
        <v>1</v>
      </c>
      <c r="M45" s="3" t="n">
        <f aca="false">Prowler!A45</f>
        <v>0</v>
      </c>
      <c r="O45" s="4" t="str">
        <f aca="false">IF(Prowler!N45="", "", _xlfn.CONCAT("[{""key"":""",SUBSTITUTE(SUBSTITUTE(Prowler!N45,"=",""",""value"":""")," | ","""},{""key"":"""),"""}]"))</f>
        <v/>
      </c>
    </row>
    <row r="46" customFormat="false" ht="79.75" hidden="false" customHeight="false" outlineLevel="0" collapsed="false">
      <c r="B46" s="1" t="str">
        <f aca="false">UPPER(Prowler!C46)</f>
        <v/>
      </c>
      <c r="C46" s="1" t="str">
        <f aca="false">IF(Prowler!AL46&lt;&gt;"",Prowler!AL46, _xlfn.CONCAT("arn:aws:ec2:",F46,":",Prowler!AD46,":instance/",Prowler!AK46))</f>
        <v>arn:aws:ec2:::instance/</v>
      </c>
      <c r="F46" s="1" t="n">
        <f aca="false">Prowler!AJ46</f>
        <v>0</v>
      </c>
      <c r="G46" s="1" t="n">
        <f aca="false">Prowler!E46</f>
        <v>0</v>
      </c>
      <c r="H46" s="4" t="str">
        <f aca="false">_xlfn.TEXTJOIN(CHAR(10),1, Prowler!O46:Q46)</f>
        <v/>
      </c>
      <c r="I46" s="4" t="str">
        <f aca="false">_xlfn.TEXTJOIN(CHAR(10),1, Prowler!R46:W46)</f>
        <v/>
      </c>
      <c r="J46" s="1" t="n">
        <f aca="false">IF(Prowler!K46="critical",10, IF(Prowler!K46="high",7, IF(Prowler!K46="medium",5, 1)))</f>
        <v>1</v>
      </c>
      <c r="M46" s="3" t="n">
        <f aca="false">Prowler!A46</f>
        <v>0</v>
      </c>
      <c r="O46" s="4" t="str">
        <f aca="false">IF(Prowler!N46="", "", _xlfn.CONCAT("[{""key"":""",SUBSTITUTE(SUBSTITUTE(Prowler!N46,"=",""",""value"":""")," | ","""},{""key"":"""),"""}]"))</f>
        <v/>
      </c>
    </row>
    <row r="47" customFormat="false" ht="359.35" hidden="false" customHeight="false" outlineLevel="0" collapsed="false">
      <c r="B47" s="1" t="str">
        <f aca="false">UPPER(Prowler!C47)</f>
        <v/>
      </c>
      <c r="C47" s="1" t="str">
        <f aca="false">IF(Prowler!AL47&lt;&gt;"",Prowler!AL47, _xlfn.CONCAT("arn:aws:ec2:",F47,":",Prowler!AD47,":instance/",Prowler!AK47))</f>
        <v>arn:aws:ec2:::instance/</v>
      </c>
      <c r="F47" s="1" t="n">
        <f aca="false">Prowler!AJ47</f>
        <v>0</v>
      </c>
      <c r="G47" s="1" t="n">
        <f aca="false">Prowler!E47</f>
        <v>0</v>
      </c>
      <c r="H47" s="4" t="str">
        <f aca="false">_xlfn.TEXTJOIN(CHAR(10),1, Prowler!O47:Q47)</f>
        <v/>
      </c>
      <c r="I47" s="4" t="str">
        <f aca="false">_xlfn.TEXTJOIN(CHAR(10),1, Prowler!R47:W47)</f>
        <v/>
      </c>
      <c r="J47" s="1" t="n">
        <f aca="false">IF(Prowler!K47="critical",10, IF(Prowler!K47="high",7, IF(Prowler!K47="medium",5, 1)))</f>
        <v>1</v>
      </c>
      <c r="M47" s="3" t="n">
        <f aca="false">Prowler!A47</f>
        <v>0</v>
      </c>
      <c r="O47" s="4" t="str">
        <f aca="false">IF(Prowler!N47="", "", _xlfn.CONCAT("[{""key"":""",SUBSTITUTE(SUBSTITUTE(Prowler!N47,"=",""",""value"":""")," | ","""},{""key"":"""),"""}]"))</f>
        <v/>
      </c>
    </row>
    <row r="48" customFormat="false" ht="79.75" hidden="false" customHeight="false" outlineLevel="0" collapsed="false">
      <c r="B48" s="1" t="str">
        <f aca="false">UPPER(Prowler!C48)</f>
        <v/>
      </c>
      <c r="C48" s="1" t="str">
        <f aca="false">IF(Prowler!AL48&lt;&gt;"",Prowler!AL48, _xlfn.CONCAT("arn:aws:ec2:",F48,":",Prowler!AD48,":instance/",Prowler!AK48))</f>
        <v>arn:aws:ec2:::instance/</v>
      </c>
      <c r="F48" s="1" t="n">
        <f aca="false">Prowler!AJ48</f>
        <v>0</v>
      </c>
      <c r="G48" s="1" t="n">
        <f aca="false">Prowler!E48</f>
        <v>0</v>
      </c>
      <c r="H48" s="4" t="str">
        <f aca="false">_xlfn.TEXTJOIN(CHAR(10),1, Prowler!O48:Q48)</f>
        <v/>
      </c>
      <c r="I48" s="4" t="str">
        <f aca="false">_xlfn.TEXTJOIN(CHAR(10),1, Prowler!R48:W48)</f>
        <v/>
      </c>
      <c r="J48" s="1" t="n">
        <f aca="false">IF(Prowler!K48="critical",10, IF(Prowler!K48="high",7, IF(Prowler!K48="medium",5, 1)))</f>
        <v>1</v>
      </c>
      <c r="M48" s="3" t="n">
        <f aca="false">Prowler!A48</f>
        <v>0</v>
      </c>
      <c r="O48" s="4" t="str">
        <f aca="false">IF(Prowler!N48="", "", _xlfn.CONCAT("[{""key"":""",SUBSTITUTE(SUBSTITUTE(Prowler!N48,"=",""",""value"":""")," | ","""},{""key"":"""),"""}]"))</f>
        <v/>
      </c>
    </row>
    <row r="49" customFormat="false" ht="79.75" hidden="false" customHeight="false" outlineLevel="0" collapsed="false">
      <c r="B49" s="1" t="str">
        <f aca="false">UPPER(Prowler!C49)</f>
        <v/>
      </c>
      <c r="C49" s="1" t="str">
        <f aca="false">IF(Prowler!AL49&lt;&gt;"",Prowler!AL49, _xlfn.CONCAT("arn:aws:ec2:",F49,":",Prowler!AD49,":instance/",Prowler!AK49))</f>
        <v>arn:aws:ec2:::instance/</v>
      </c>
      <c r="F49" s="1" t="n">
        <f aca="false">Prowler!AJ49</f>
        <v>0</v>
      </c>
      <c r="G49" s="1" t="n">
        <f aca="false">Prowler!E49</f>
        <v>0</v>
      </c>
      <c r="H49" s="4" t="str">
        <f aca="false">_xlfn.TEXTJOIN(CHAR(10),1, Prowler!O49:Q49)</f>
        <v/>
      </c>
      <c r="I49" s="4" t="str">
        <f aca="false">_xlfn.TEXTJOIN(CHAR(10),1, Prowler!R49:W49)</f>
        <v/>
      </c>
      <c r="J49" s="1" t="n">
        <f aca="false">IF(Prowler!K49="critical",10, IF(Prowler!K49="high",7, IF(Prowler!K49="medium",5, 1)))</f>
        <v>1</v>
      </c>
      <c r="M49" s="3" t="n">
        <f aca="false">Prowler!A49</f>
        <v>0</v>
      </c>
      <c r="O49" s="4" t="str">
        <f aca="false">IF(Prowler!N49="", "", _xlfn.CONCAT("[{""key"":""",SUBSTITUTE(SUBSTITUTE(Prowler!N49,"=",""",""value"":""")," | ","""},{""key"":"""),"""}]"))</f>
        <v/>
      </c>
    </row>
    <row r="50" customFormat="false" ht="79.75" hidden="false" customHeight="false" outlineLevel="0" collapsed="false">
      <c r="B50" s="1" t="str">
        <f aca="false">UPPER(Prowler!C50)</f>
        <v/>
      </c>
      <c r="C50" s="1" t="str">
        <f aca="false">IF(Prowler!AL50&lt;&gt;"",Prowler!AL50, _xlfn.CONCAT("arn:aws:ec2:",F50,":",Prowler!AD50,":instance/",Prowler!AK50))</f>
        <v>arn:aws:ec2:::instance/</v>
      </c>
      <c r="F50" s="1" t="n">
        <f aca="false">Prowler!AJ50</f>
        <v>0</v>
      </c>
      <c r="G50" s="1" t="n">
        <f aca="false">Prowler!E50</f>
        <v>0</v>
      </c>
      <c r="H50" s="4" t="str">
        <f aca="false">_xlfn.TEXTJOIN(CHAR(10),1, Prowler!O50:Q50)</f>
        <v/>
      </c>
      <c r="I50" s="4" t="str">
        <f aca="false">_xlfn.TEXTJOIN(CHAR(10),1, Prowler!R50:W50)</f>
        <v/>
      </c>
      <c r="J50" s="1" t="n">
        <f aca="false">IF(Prowler!K50="critical",10, IF(Prowler!K50="high",7, IF(Prowler!K50="medium",5, 1)))</f>
        <v>1</v>
      </c>
      <c r="M50" s="3" t="n">
        <f aca="false">Prowler!A50</f>
        <v>0</v>
      </c>
      <c r="O50" s="4" t="str">
        <f aca="false">IF(Prowler!N50="", "", _xlfn.CONCAT("[{""key"":""",SUBSTITUTE(SUBSTITUTE(Prowler!N50,"=",""",""value"":""")," | ","""},{""key"":"""),"""}]"))</f>
        <v/>
      </c>
    </row>
    <row r="51" customFormat="false" ht="79.75" hidden="false" customHeight="false" outlineLevel="0" collapsed="false">
      <c r="B51" s="1" t="str">
        <f aca="false">UPPER(Prowler!C51)</f>
        <v/>
      </c>
      <c r="C51" s="1" t="str">
        <f aca="false">IF(Prowler!AL51&lt;&gt;"",Prowler!AL51, _xlfn.CONCAT("arn:aws:ec2:",F51,":",Prowler!AD51,":instance/",Prowler!AK51))</f>
        <v>arn:aws:ec2:::instance/</v>
      </c>
      <c r="F51" s="1" t="n">
        <f aca="false">Prowler!AJ51</f>
        <v>0</v>
      </c>
      <c r="G51" s="1" t="n">
        <f aca="false">Prowler!E51</f>
        <v>0</v>
      </c>
      <c r="H51" s="4" t="str">
        <f aca="false">_xlfn.TEXTJOIN(CHAR(10),1, Prowler!O51:Q51)</f>
        <v/>
      </c>
      <c r="I51" s="4" t="str">
        <f aca="false">_xlfn.TEXTJOIN(CHAR(10),1, Prowler!R51:W51)</f>
        <v/>
      </c>
      <c r="J51" s="1" t="n">
        <f aca="false">IF(Prowler!K51="critical",10, IF(Prowler!K51="high",7, IF(Prowler!K51="medium",5, 1)))</f>
        <v>1</v>
      </c>
      <c r="M51" s="3" t="n">
        <f aca="false">Prowler!A51</f>
        <v>0</v>
      </c>
      <c r="O51" s="4" t="str">
        <f aca="false">IF(Prowler!N51="", "", _xlfn.CONCAT("[{""key"":""",SUBSTITUTE(SUBSTITUTE(Prowler!N51,"=",""",""value"":""")," | ","""},{""key"":"""),"""}]"))</f>
        <v/>
      </c>
    </row>
    <row r="52" customFormat="false" ht="79.75" hidden="false" customHeight="false" outlineLevel="0" collapsed="false">
      <c r="B52" s="1" t="str">
        <f aca="false">UPPER(Prowler!C52)</f>
        <v/>
      </c>
      <c r="C52" s="1" t="str">
        <f aca="false">IF(Prowler!AL52&lt;&gt;"",Prowler!AL52, _xlfn.CONCAT("arn:aws:ec2:",F52,":",Prowler!AD52,":instance/",Prowler!AK52))</f>
        <v>arn:aws:ec2:::instance/</v>
      </c>
      <c r="F52" s="1" t="n">
        <f aca="false">Prowler!AJ52</f>
        <v>0</v>
      </c>
      <c r="G52" s="1" t="n">
        <f aca="false">Prowler!E52</f>
        <v>0</v>
      </c>
      <c r="H52" s="4" t="str">
        <f aca="false">_xlfn.TEXTJOIN(CHAR(10),1, Prowler!O52:Q52)</f>
        <v/>
      </c>
      <c r="I52" s="4" t="str">
        <f aca="false">_xlfn.TEXTJOIN(CHAR(10),1, Prowler!R52:W52)</f>
        <v/>
      </c>
      <c r="J52" s="1" t="n">
        <f aca="false">IF(Prowler!K52="critical",10, IF(Prowler!K52="high",7, IF(Prowler!K52="medium",5, 1)))</f>
        <v>1</v>
      </c>
      <c r="M52" s="3" t="n">
        <f aca="false">Prowler!A52</f>
        <v>0</v>
      </c>
      <c r="O52" s="4" t="str">
        <f aca="false">IF(Prowler!N52="", "", _xlfn.CONCAT("[{""key"":""",SUBSTITUTE(SUBSTITUTE(Prowler!N52,"=",""",""value"":""")," | ","""},{""key"":"""),"""}]"))</f>
        <v/>
      </c>
    </row>
    <row r="53" customFormat="false" ht="79.75" hidden="false" customHeight="false" outlineLevel="0" collapsed="false">
      <c r="B53" s="1" t="str">
        <f aca="false">UPPER(Prowler!C53)</f>
        <v/>
      </c>
      <c r="C53" s="1" t="str">
        <f aca="false">IF(Prowler!AL53&lt;&gt;"",Prowler!AL53, _xlfn.CONCAT("arn:aws:ec2:",F53,":",Prowler!AD53,":instance/",Prowler!AK53))</f>
        <v>arn:aws:ec2:::instance/</v>
      </c>
      <c r="F53" s="1" t="n">
        <f aca="false">Prowler!AJ53</f>
        <v>0</v>
      </c>
      <c r="G53" s="1" t="n">
        <f aca="false">Prowler!E53</f>
        <v>0</v>
      </c>
      <c r="H53" s="4" t="str">
        <f aca="false">_xlfn.TEXTJOIN(CHAR(10),1, Prowler!O53:Q53)</f>
        <v/>
      </c>
      <c r="I53" s="4" t="str">
        <f aca="false">_xlfn.TEXTJOIN(CHAR(10),1, Prowler!R53:W53)</f>
        <v/>
      </c>
      <c r="J53" s="1" t="n">
        <f aca="false">IF(Prowler!K53="critical",10, IF(Prowler!K53="high",7, IF(Prowler!K53="medium",5, 1)))</f>
        <v>1</v>
      </c>
      <c r="M53" s="3" t="n">
        <f aca="false">Prowler!A53</f>
        <v>0</v>
      </c>
      <c r="O53" s="4" t="str">
        <f aca="false">IF(Prowler!N53="", "", _xlfn.CONCAT("[{""key"":""",SUBSTITUTE(SUBSTITUTE(Prowler!N53,"=",""",""value"":""")," | ","""},{""key"":"""),"""}]"))</f>
        <v/>
      </c>
    </row>
    <row r="54" customFormat="false" ht="79.75" hidden="false" customHeight="false" outlineLevel="0" collapsed="false">
      <c r="B54" s="1" t="str">
        <f aca="false">UPPER(Prowler!C54)</f>
        <v/>
      </c>
      <c r="C54" s="1" t="str">
        <f aca="false">IF(Prowler!AL54&lt;&gt;"",Prowler!AL54, _xlfn.CONCAT("arn:aws:ec2:",F54,":",Prowler!AD54,":instance/",Prowler!AK54))</f>
        <v>arn:aws:ec2:::instance/</v>
      </c>
      <c r="F54" s="1" t="n">
        <f aca="false">Prowler!AJ54</f>
        <v>0</v>
      </c>
      <c r="G54" s="1" t="n">
        <f aca="false">Prowler!E54</f>
        <v>0</v>
      </c>
      <c r="H54" s="4" t="str">
        <f aca="false">_xlfn.TEXTJOIN(CHAR(10),1, Prowler!O54:Q54)</f>
        <v/>
      </c>
      <c r="I54" s="4" t="str">
        <f aca="false">_xlfn.TEXTJOIN(CHAR(10),1, Prowler!R54:W54)</f>
        <v/>
      </c>
      <c r="J54" s="1" t="n">
        <f aca="false">IF(Prowler!K54="critical",10, IF(Prowler!K54="high",7, IF(Prowler!K54="medium",5, 1)))</f>
        <v>1</v>
      </c>
      <c r="M54" s="3" t="n">
        <f aca="false">Prowler!A54</f>
        <v>0</v>
      </c>
      <c r="O54" s="4" t="str">
        <f aca="false">IF(Prowler!N54="", "", _xlfn.CONCAT("[{""key"":""",SUBSTITUTE(SUBSTITUTE(Prowler!N54,"=",""",""value"":""")," | ","""},{""key"":"""),"""}]"))</f>
        <v/>
      </c>
    </row>
    <row r="55" customFormat="false" ht="79.75" hidden="false" customHeight="false" outlineLevel="0" collapsed="false">
      <c r="B55" s="1" t="str">
        <f aca="false">UPPER(Prowler!C55)</f>
        <v/>
      </c>
      <c r="C55" s="1" t="str">
        <f aca="false">IF(Prowler!AL55&lt;&gt;"",Prowler!AL55, _xlfn.CONCAT("arn:aws:ec2:",F55,":",Prowler!AD55,":instance/",Prowler!AK55))</f>
        <v>arn:aws:ec2:::instance/</v>
      </c>
      <c r="F55" s="1" t="n">
        <f aca="false">Prowler!AJ55</f>
        <v>0</v>
      </c>
      <c r="G55" s="1" t="n">
        <f aca="false">Prowler!E55</f>
        <v>0</v>
      </c>
      <c r="H55" s="4" t="str">
        <f aca="false">_xlfn.TEXTJOIN(CHAR(10),1, Prowler!O55:Q55)</f>
        <v/>
      </c>
      <c r="I55" s="4" t="str">
        <f aca="false">_xlfn.TEXTJOIN(CHAR(10),1, Prowler!R55:W55)</f>
        <v/>
      </c>
      <c r="J55" s="1" t="n">
        <f aca="false">IF(Prowler!K55="critical",10, IF(Prowler!K55="high",7, IF(Prowler!K55="medium",5, 1)))</f>
        <v>1</v>
      </c>
      <c r="M55" s="3" t="n">
        <f aca="false">Prowler!A55</f>
        <v>0</v>
      </c>
      <c r="O55" s="4" t="str">
        <f aca="false">IF(Prowler!N55="", "", _xlfn.CONCAT("[{""key"":""",SUBSTITUTE(SUBSTITUTE(Prowler!N55,"=",""",""value"":""")," | ","""},{""key"":"""),"""}]"))</f>
        <v/>
      </c>
    </row>
    <row r="56" customFormat="false" ht="79.75" hidden="false" customHeight="false" outlineLevel="0" collapsed="false">
      <c r="B56" s="1" t="str">
        <f aca="false">UPPER(Prowler!C56)</f>
        <v/>
      </c>
      <c r="C56" s="1" t="str">
        <f aca="false">IF(Prowler!AL56&lt;&gt;"",Prowler!AL56, _xlfn.CONCAT("arn:aws:ec2:",F56,":",Prowler!AD56,":instance/",Prowler!AK56))</f>
        <v>arn:aws:ec2:::instance/</v>
      </c>
      <c r="F56" s="1" t="n">
        <f aca="false">Prowler!AJ56</f>
        <v>0</v>
      </c>
      <c r="G56" s="1" t="n">
        <f aca="false">Prowler!E56</f>
        <v>0</v>
      </c>
      <c r="H56" s="4" t="str">
        <f aca="false">_xlfn.TEXTJOIN(CHAR(10),1, Prowler!O56:Q56)</f>
        <v/>
      </c>
      <c r="I56" s="4" t="str">
        <f aca="false">_xlfn.TEXTJOIN(CHAR(10),1, Prowler!R56:W56)</f>
        <v/>
      </c>
      <c r="J56" s="1" t="n">
        <f aca="false">IF(Prowler!K56="critical",10, IF(Prowler!K56="high",7, IF(Prowler!K56="medium",5, 1)))</f>
        <v>1</v>
      </c>
      <c r="M56" s="3" t="n">
        <f aca="false">Prowler!A56</f>
        <v>0</v>
      </c>
      <c r="O56" s="4" t="str">
        <f aca="false">IF(Prowler!N56="", "", _xlfn.CONCAT("[{""key"":""",SUBSTITUTE(SUBSTITUTE(Prowler!N56,"=",""",""value"":""")," | ","""},{""key"":"""),"""}]"))</f>
        <v/>
      </c>
    </row>
    <row r="57" customFormat="false" ht="79.75" hidden="false" customHeight="false" outlineLevel="0" collapsed="false">
      <c r="B57" s="1" t="str">
        <f aca="false">UPPER(Prowler!C57)</f>
        <v/>
      </c>
      <c r="C57" s="1" t="str">
        <f aca="false">IF(Prowler!AL57&lt;&gt;"",Prowler!AL57, _xlfn.CONCAT("arn:aws:ec2:",F57,":",Prowler!AD57,":instance/",Prowler!AK57))</f>
        <v>arn:aws:ec2:::instance/</v>
      </c>
      <c r="F57" s="1" t="n">
        <f aca="false">Prowler!AJ57</f>
        <v>0</v>
      </c>
      <c r="G57" s="1" t="n">
        <f aca="false">Prowler!E57</f>
        <v>0</v>
      </c>
      <c r="H57" s="4" t="str">
        <f aca="false">_xlfn.TEXTJOIN(CHAR(10),1, Prowler!O57:Q57)</f>
        <v/>
      </c>
      <c r="I57" s="4" t="str">
        <f aca="false">_xlfn.TEXTJOIN(CHAR(10),1, Prowler!R57:W57)</f>
        <v/>
      </c>
      <c r="J57" s="1" t="n">
        <f aca="false">IF(Prowler!K57="critical",10, IF(Prowler!K57="high",7, IF(Prowler!K57="medium",5, 1)))</f>
        <v>1</v>
      </c>
      <c r="M57" s="3" t="n">
        <f aca="false">Prowler!A57</f>
        <v>0</v>
      </c>
      <c r="O57" s="4" t="str">
        <f aca="false">IF(Prowler!N57="", "", _xlfn.CONCAT("[{""key"":""",SUBSTITUTE(SUBSTITUTE(Prowler!N57,"=",""",""value"":""")," | ","""},{""key"":"""),"""}]"))</f>
        <v/>
      </c>
    </row>
    <row r="58" customFormat="false" ht="79.75" hidden="false" customHeight="false" outlineLevel="0" collapsed="false">
      <c r="B58" s="1" t="str">
        <f aca="false">UPPER(Prowler!C58)</f>
        <v/>
      </c>
      <c r="C58" s="1" t="str">
        <f aca="false">IF(Prowler!AL58&lt;&gt;"",Prowler!AL58, _xlfn.CONCAT("arn:aws:ec2:",F58,":",Prowler!AD58,":instance/",Prowler!AK58))</f>
        <v>arn:aws:ec2:::instance/</v>
      </c>
      <c r="F58" s="1" t="n">
        <f aca="false">Prowler!AJ58</f>
        <v>0</v>
      </c>
      <c r="G58" s="1" t="n">
        <f aca="false">Prowler!E58</f>
        <v>0</v>
      </c>
      <c r="H58" s="4" t="str">
        <f aca="false">_xlfn.TEXTJOIN(CHAR(10),1, Prowler!O58:Q58)</f>
        <v/>
      </c>
      <c r="I58" s="4" t="str">
        <f aca="false">_xlfn.TEXTJOIN(CHAR(10),1, Prowler!R58:W58)</f>
        <v/>
      </c>
      <c r="J58" s="1" t="n">
        <f aca="false">IF(Prowler!K58="critical",10, IF(Prowler!K58="high",7, IF(Prowler!K58="medium",5, 1)))</f>
        <v>1</v>
      </c>
      <c r="M58" s="3" t="n">
        <f aca="false">Prowler!A58</f>
        <v>0</v>
      </c>
      <c r="O58" s="4" t="str">
        <f aca="false">IF(Prowler!N58="", "", _xlfn.CONCAT("[{""key"":""",SUBSTITUTE(SUBSTITUTE(Prowler!N58,"=",""",""value"":""")," | ","""},{""key"":"""),"""}]"))</f>
        <v/>
      </c>
    </row>
    <row r="59" customFormat="false" ht="79.75" hidden="false" customHeight="false" outlineLevel="0" collapsed="false">
      <c r="B59" s="1" t="str">
        <f aca="false">UPPER(Prowler!C59)</f>
        <v/>
      </c>
      <c r="C59" s="1" t="str">
        <f aca="false">IF(Prowler!AL59&lt;&gt;"",Prowler!AL59, _xlfn.CONCAT("arn:aws:ec2:",F59,":",Prowler!AD59,":instance/",Prowler!AK59))</f>
        <v>arn:aws:ec2:::instance/</v>
      </c>
      <c r="F59" s="1" t="n">
        <f aca="false">Prowler!AJ59</f>
        <v>0</v>
      </c>
      <c r="G59" s="1" t="n">
        <f aca="false">Prowler!E59</f>
        <v>0</v>
      </c>
      <c r="H59" s="4" t="str">
        <f aca="false">_xlfn.TEXTJOIN(CHAR(10),1, Prowler!O59:Q59)</f>
        <v/>
      </c>
      <c r="I59" s="4" t="str">
        <f aca="false">_xlfn.TEXTJOIN(CHAR(10),1, Prowler!R59:W59)</f>
        <v/>
      </c>
      <c r="J59" s="1" t="n">
        <f aca="false">IF(Prowler!K59="critical",10, IF(Prowler!K59="high",7, IF(Prowler!K59="medium",5, 1)))</f>
        <v>1</v>
      </c>
      <c r="M59" s="3" t="n">
        <f aca="false">Prowler!A59</f>
        <v>0</v>
      </c>
      <c r="O59" s="4" t="str">
        <f aca="false">IF(Prowler!N59="", "", _xlfn.CONCAT("[{""key"":""",SUBSTITUTE(SUBSTITUTE(Prowler!N59,"=",""",""value"":""")," | ","""},{""key"":"""),"""}]"))</f>
        <v/>
      </c>
    </row>
    <row r="60" customFormat="false" ht="79.75" hidden="false" customHeight="false" outlineLevel="0" collapsed="false">
      <c r="B60" s="1" t="str">
        <f aca="false">UPPER(Prowler!C60)</f>
        <v/>
      </c>
      <c r="C60" s="1" t="str">
        <f aca="false">IF(Prowler!AL60&lt;&gt;"",Prowler!AL60, _xlfn.CONCAT("arn:aws:ec2:",F60,":",Prowler!AD60,":instance/",Prowler!AK60))</f>
        <v>arn:aws:ec2:::instance/</v>
      </c>
      <c r="F60" s="1" t="n">
        <f aca="false">Prowler!AJ60</f>
        <v>0</v>
      </c>
      <c r="G60" s="1" t="n">
        <f aca="false">Prowler!E60</f>
        <v>0</v>
      </c>
      <c r="H60" s="4" t="str">
        <f aca="false">_xlfn.TEXTJOIN(CHAR(10),1, Prowler!O60:Q60)</f>
        <v/>
      </c>
      <c r="I60" s="4" t="str">
        <f aca="false">_xlfn.TEXTJOIN(CHAR(10),1, Prowler!R60:W60)</f>
        <v/>
      </c>
      <c r="J60" s="1" t="n">
        <f aca="false">IF(Prowler!K60="critical",10, IF(Prowler!K60="high",7, IF(Prowler!K60="medium",5, 1)))</f>
        <v>1</v>
      </c>
      <c r="M60" s="3" t="n">
        <f aca="false">Prowler!A60</f>
        <v>0</v>
      </c>
      <c r="O60" s="4" t="str">
        <f aca="false">IF(Prowler!N60="", "", _xlfn.CONCAT("[{""key"":""",SUBSTITUTE(SUBSTITUTE(Prowler!N60,"=",""",""value"":""")," | ","""},{""key"":"""),"""}]"))</f>
        <v/>
      </c>
    </row>
    <row r="61" customFormat="false" ht="79.75" hidden="false" customHeight="false" outlineLevel="0" collapsed="false">
      <c r="B61" s="1" t="str">
        <f aca="false">UPPER(Prowler!C61)</f>
        <v/>
      </c>
      <c r="C61" s="1" t="str">
        <f aca="false">IF(Prowler!AL61&lt;&gt;"",Prowler!AL61, _xlfn.CONCAT("arn:aws:ec2:",F61,":",Prowler!AD61,":instance/",Prowler!AK61))</f>
        <v>arn:aws:ec2:::instance/</v>
      </c>
      <c r="F61" s="1" t="n">
        <f aca="false">Prowler!AJ61</f>
        <v>0</v>
      </c>
      <c r="G61" s="1" t="n">
        <f aca="false">Prowler!E61</f>
        <v>0</v>
      </c>
      <c r="H61" s="4" t="str">
        <f aca="false">_xlfn.TEXTJOIN(CHAR(10),1, Prowler!O61:Q61)</f>
        <v/>
      </c>
      <c r="I61" s="4" t="str">
        <f aca="false">_xlfn.TEXTJOIN(CHAR(10),1, Prowler!R61:W61)</f>
        <v/>
      </c>
      <c r="J61" s="1" t="n">
        <f aca="false">IF(Prowler!K61="critical",10, IF(Prowler!K61="high",7, IF(Prowler!K61="medium",5, 1)))</f>
        <v>1</v>
      </c>
      <c r="M61" s="3" t="n">
        <f aca="false">Prowler!A61</f>
        <v>0</v>
      </c>
      <c r="O61" s="4" t="str">
        <f aca="false">IF(Prowler!N61="", "", _xlfn.CONCAT("[{""key"":""",SUBSTITUTE(SUBSTITUTE(Prowler!N61,"=",""",""value"":""")," | ","""},{""key"":"""),"""}]"))</f>
        <v/>
      </c>
    </row>
    <row r="62" customFormat="false" ht="79.75" hidden="false" customHeight="false" outlineLevel="0" collapsed="false">
      <c r="B62" s="1" t="str">
        <f aca="false">UPPER(Prowler!C62)</f>
        <v/>
      </c>
      <c r="C62" s="1" t="str">
        <f aca="false">IF(Prowler!AL62&lt;&gt;"",Prowler!AL62, _xlfn.CONCAT("arn:aws:ec2:",F62,":",Prowler!AD62,":instance/",Prowler!AK62))</f>
        <v>arn:aws:ec2:::instance/</v>
      </c>
      <c r="F62" s="1" t="n">
        <f aca="false">Prowler!AJ62</f>
        <v>0</v>
      </c>
      <c r="G62" s="1" t="n">
        <f aca="false">Prowler!E62</f>
        <v>0</v>
      </c>
      <c r="H62" s="4" t="str">
        <f aca="false">_xlfn.TEXTJOIN(CHAR(10),1, Prowler!O62:Q62)</f>
        <v/>
      </c>
      <c r="I62" s="4" t="str">
        <f aca="false">_xlfn.TEXTJOIN(CHAR(10),1, Prowler!R62:W62)</f>
        <v/>
      </c>
      <c r="J62" s="1" t="n">
        <f aca="false">IF(Prowler!K62="critical",10, IF(Prowler!K62="high",7, IF(Prowler!K62="medium",5, 1)))</f>
        <v>1</v>
      </c>
      <c r="M62" s="3" t="n">
        <f aca="false">Prowler!A62</f>
        <v>0</v>
      </c>
      <c r="O62" s="4" t="str">
        <f aca="false">IF(Prowler!N62="", "", _xlfn.CONCAT("[{""key"":""",SUBSTITUTE(SUBSTITUTE(Prowler!N62,"=",""",""value"":""")," | ","""},{""key"":"""),"""}]"))</f>
        <v/>
      </c>
    </row>
    <row r="63" customFormat="false" ht="79.75" hidden="false" customHeight="false" outlineLevel="0" collapsed="false">
      <c r="B63" s="1" t="str">
        <f aca="false">UPPER(Prowler!C63)</f>
        <v/>
      </c>
      <c r="C63" s="1" t="str">
        <f aca="false">IF(Prowler!AL63&lt;&gt;"",Prowler!AL63, _xlfn.CONCAT("arn:aws:ec2:",F63,":",Prowler!AD63,":instance/",Prowler!AK63))</f>
        <v>arn:aws:ec2:::instance/</v>
      </c>
      <c r="F63" s="1" t="n">
        <f aca="false">Prowler!AJ63</f>
        <v>0</v>
      </c>
      <c r="G63" s="1" t="n">
        <f aca="false">Prowler!E63</f>
        <v>0</v>
      </c>
      <c r="H63" s="4" t="str">
        <f aca="false">_xlfn.TEXTJOIN(CHAR(10),1, Prowler!O63:Q63)</f>
        <v/>
      </c>
      <c r="I63" s="4" t="str">
        <f aca="false">_xlfn.TEXTJOIN(CHAR(10),1, Prowler!R63:W63)</f>
        <v/>
      </c>
      <c r="J63" s="1" t="n">
        <f aca="false">IF(Prowler!K63="critical",10, IF(Prowler!K63="high",7, IF(Prowler!K63="medium",5, 1)))</f>
        <v>1</v>
      </c>
      <c r="M63" s="3" t="n">
        <f aca="false">Prowler!A63</f>
        <v>0</v>
      </c>
      <c r="O63" s="4" t="str">
        <f aca="false">IF(Prowler!N63="", "", _xlfn.CONCAT("[{""key"":""",SUBSTITUTE(SUBSTITUTE(Prowler!N63,"=",""",""value"":""")," | ","""},{""key"":"""),"""}]"))</f>
        <v/>
      </c>
    </row>
    <row r="64" customFormat="false" ht="79.75" hidden="false" customHeight="false" outlineLevel="0" collapsed="false">
      <c r="B64" s="1" t="str">
        <f aca="false">UPPER(Prowler!C64)</f>
        <v/>
      </c>
      <c r="C64" s="1" t="str">
        <f aca="false">IF(Prowler!AL64&lt;&gt;"",Prowler!AL64, _xlfn.CONCAT("arn:aws:ec2:",F64,":",Prowler!AD64,":instance/",Prowler!AK64))</f>
        <v>arn:aws:ec2:::instance/</v>
      </c>
      <c r="F64" s="1" t="n">
        <f aca="false">Prowler!AJ64</f>
        <v>0</v>
      </c>
      <c r="G64" s="1" t="n">
        <f aca="false">Prowler!E64</f>
        <v>0</v>
      </c>
      <c r="H64" s="4" t="str">
        <f aca="false">_xlfn.TEXTJOIN(CHAR(10),1, Prowler!O64:Q64)</f>
        <v/>
      </c>
      <c r="I64" s="4" t="str">
        <f aca="false">_xlfn.TEXTJOIN(CHAR(10),1, Prowler!R64:W64)</f>
        <v/>
      </c>
      <c r="J64" s="1" t="n">
        <f aca="false">IF(Prowler!K64="critical",10, IF(Prowler!K64="high",7, IF(Prowler!K64="medium",5, 1)))</f>
        <v>1</v>
      </c>
      <c r="M64" s="3" t="n">
        <f aca="false">Prowler!A64</f>
        <v>0</v>
      </c>
      <c r="O64" s="4" t="str">
        <f aca="false">IF(Prowler!N64="", "", _xlfn.CONCAT("[{""key"":""",SUBSTITUTE(SUBSTITUTE(Prowler!N64,"=",""",""value"":""")," | ","""},{""key"":"""),"""}]"))</f>
        <v/>
      </c>
    </row>
    <row r="65" customFormat="false" ht="79.75" hidden="false" customHeight="false" outlineLevel="0" collapsed="false">
      <c r="B65" s="1" t="str">
        <f aca="false">UPPER(Prowler!C65)</f>
        <v/>
      </c>
      <c r="C65" s="1" t="str">
        <f aca="false">IF(Prowler!AL65&lt;&gt;"",Prowler!AL65, _xlfn.CONCAT("arn:aws:ec2:",F65,":",Prowler!AD65,":instance/",Prowler!AK65))</f>
        <v>arn:aws:ec2:::instance/</v>
      </c>
      <c r="F65" s="1" t="n">
        <f aca="false">Prowler!AJ65</f>
        <v>0</v>
      </c>
      <c r="G65" s="1" t="n">
        <f aca="false">Prowler!E65</f>
        <v>0</v>
      </c>
      <c r="H65" s="4" t="str">
        <f aca="false">_xlfn.TEXTJOIN(CHAR(10),1, Prowler!O65:Q65)</f>
        <v/>
      </c>
      <c r="I65" s="4" t="str">
        <f aca="false">_xlfn.TEXTJOIN(CHAR(10),1, Prowler!R65:W65)</f>
        <v/>
      </c>
      <c r="J65" s="1" t="n">
        <f aca="false">IF(Prowler!K65="critical",10, IF(Prowler!K65="high",7, IF(Prowler!K65="medium",5, 1)))</f>
        <v>1</v>
      </c>
      <c r="M65" s="3" t="n">
        <f aca="false">Prowler!A65</f>
        <v>0</v>
      </c>
      <c r="O65" s="4" t="str">
        <f aca="false">IF(Prowler!N65="", "", _xlfn.CONCAT("[{""key"":""",SUBSTITUTE(SUBSTITUTE(Prowler!N65,"=",""",""value"":""")," | ","""},{""key"":"""),"""}]"))</f>
        <v/>
      </c>
    </row>
    <row r="66" customFormat="false" ht="79.75" hidden="false" customHeight="false" outlineLevel="0" collapsed="false">
      <c r="B66" s="1" t="str">
        <f aca="false">UPPER(Prowler!C66)</f>
        <v/>
      </c>
      <c r="C66" s="1" t="str">
        <f aca="false">IF(Prowler!AL66&lt;&gt;"",Prowler!AL66, _xlfn.CONCAT("arn:aws:ec2:",F66,":",Prowler!AD66,":instance/",Prowler!AK66))</f>
        <v>arn:aws:ec2:::instance/</v>
      </c>
      <c r="F66" s="1" t="n">
        <f aca="false">Prowler!AJ66</f>
        <v>0</v>
      </c>
      <c r="G66" s="1" t="n">
        <f aca="false">Prowler!E66</f>
        <v>0</v>
      </c>
      <c r="H66" s="4" t="str">
        <f aca="false">_xlfn.TEXTJOIN(CHAR(10),1, Prowler!O66:Q66)</f>
        <v/>
      </c>
      <c r="I66" s="4" t="str">
        <f aca="false">_xlfn.TEXTJOIN(CHAR(10),1, Prowler!R66:W66)</f>
        <v/>
      </c>
      <c r="J66" s="1" t="n">
        <f aca="false">IF(Prowler!K66="critical",10, IF(Prowler!K66="high",7, IF(Prowler!K66="medium",5, 1)))</f>
        <v>1</v>
      </c>
      <c r="M66" s="3" t="n">
        <f aca="false">Prowler!A66</f>
        <v>0</v>
      </c>
      <c r="O66" s="4" t="str">
        <f aca="false">IF(Prowler!N66="", "", _xlfn.CONCAT("[{""key"":""",SUBSTITUTE(SUBSTITUTE(Prowler!N66,"=",""",""value"":""")," | ","""},{""key"":"""),"""}]"))</f>
        <v/>
      </c>
    </row>
    <row r="67" customFormat="false" ht="79.75" hidden="false" customHeight="false" outlineLevel="0" collapsed="false">
      <c r="B67" s="1" t="str">
        <f aca="false">UPPER(Prowler!C67)</f>
        <v/>
      </c>
      <c r="C67" s="1" t="str">
        <f aca="false">IF(Prowler!AL67&lt;&gt;"",Prowler!AL67, _xlfn.CONCAT("arn:aws:ec2:",F67,":",Prowler!AD67,":instance/",Prowler!AK67))</f>
        <v>arn:aws:ec2:::instance/</v>
      </c>
      <c r="F67" s="1" t="n">
        <f aca="false">Prowler!AJ67</f>
        <v>0</v>
      </c>
      <c r="G67" s="1" t="n">
        <f aca="false">Prowler!E67</f>
        <v>0</v>
      </c>
      <c r="H67" s="4" t="str">
        <f aca="false">_xlfn.TEXTJOIN(CHAR(10),1, Prowler!O67:Q67)</f>
        <v/>
      </c>
      <c r="I67" s="4" t="str">
        <f aca="false">_xlfn.TEXTJOIN(CHAR(10),1, Prowler!R67:W67)</f>
        <v/>
      </c>
      <c r="J67" s="1" t="n">
        <f aca="false">IF(Prowler!K67="critical",10, IF(Prowler!K67="high",7, IF(Prowler!K67="medium",5, 1)))</f>
        <v>1</v>
      </c>
      <c r="M67" s="3" t="n">
        <f aca="false">Prowler!A67</f>
        <v>0</v>
      </c>
      <c r="O67" s="4" t="str">
        <f aca="false">IF(Prowler!N67="", "", _xlfn.CONCAT("[{""key"":""",SUBSTITUTE(SUBSTITUTE(Prowler!N67,"=",""",""value"":""")," | ","""},{""key"":"""),"""}]"))</f>
        <v/>
      </c>
    </row>
    <row r="68" customFormat="false" ht="79.75" hidden="false" customHeight="false" outlineLevel="0" collapsed="false">
      <c r="B68" s="1" t="str">
        <f aca="false">UPPER(Prowler!C68)</f>
        <v/>
      </c>
      <c r="C68" s="1" t="str">
        <f aca="false">IF(Prowler!AL68&lt;&gt;"",Prowler!AL68, _xlfn.CONCAT("arn:aws:ec2:",F68,":",Prowler!AD68,":instance/",Prowler!AK68))</f>
        <v>arn:aws:ec2:::instance/</v>
      </c>
      <c r="F68" s="1" t="n">
        <f aca="false">Prowler!AJ68</f>
        <v>0</v>
      </c>
      <c r="G68" s="1" t="n">
        <f aca="false">Prowler!E68</f>
        <v>0</v>
      </c>
      <c r="H68" s="4" t="str">
        <f aca="false">_xlfn.TEXTJOIN(CHAR(10),1, Prowler!O68:Q68)</f>
        <v/>
      </c>
      <c r="I68" s="4" t="str">
        <f aca="false">_xlfn.TEXTJOIN(CHAR(10),1, Prowler!R68:W68)</f>
        <v/>
      </c>
      <c r="J68" s="1" t="n">
        <f aca="false">IF(Prowler!K68="critical",10, IF(Prowler!K68="high",7, IF(Prowler!K68="medium",5, 1)))</f>
        <v>1</v>
      </c>
      <c r="M68" s="3" t="n">
        <f aca="false">Prowler!A68</f>
        <v>0</v>
      </c>
      <c r="O68" s="4" t="str">
        <f aca="false">IF(Prowler!N68="", "", _xlfn.CONCAT("[{""key"":""",SUBSTITUTE(SUBSTITUTE(Prowler!N68,"=",""",""value"":""")," | ","""},{""key"":"""),"""}]"))</f>
        <v/>
      </c>
    </row>
    <row r="69" customFormat="false" ht="79.75" hidden="false" customHeight="false" outlineLevel="0" collapsed="false">
      <c r="B69" s="1" t="str">
        <f aca="false">UPPER(Prowler!C69)</f>
        <v/>
      </c>
      <c r="C69" s="1" t="str">
        <f aca="false">IF(Prowler!AL69&lt;&gt;"",Prowler!AL69, _xlfn.CONCAT("arn:aws:ec2:",F69,":",Prowler!AD69,":instance/",Prowler!AK69))</f>
        <v>arn:aws:ec2:::instance/</v>
      </c>
      <c r="F69" s="1" t="n">
        <f aca="false">Prowler!AJ69</f>
        <v>0</v>
      </c>
      <c r="G69" s="1" t="n">
        <f aca="false">Prowler!E69</f>
        <v>0</v>
      </c>
      <c r="H69" s="4" t="str">
        <f aca="false">_xlfn.TEXTJOIN(CHAR(10),1, Prowler!O69:Q69)</f>
        <v/>
      </c>
      <c r="I69" s="4" t="str">
        <f aca="false">_xlfn.TEXTJOIN(CHAR(10),1, Prowler!R69:W69)</f>
        <v/>
      </c>
      <c r="J69" s="1" t="n">
        <f aca="false">IF(Prowler!K69="critical",10, IF(Prowler!K69="high",7, IF(Prowler!K69="medium",5, 1)))</f>
        <v>1</v>
      </c>
      <c r="M69" s="3" t="n">
        <f aca="false">Prowler!A69</f>
        <v>0</v>
      </c>
      <c r="O69" s="4" t="str">
        <f aca="false">IF(Prowler!N69="", "", _xlfn.CONCAT("[{""key"":""",SUBSTITUTE(SUBSTITUTE(Prowler!N69,"=",""",""value"":""")," | ","""},{""key"":"""),"""}]"))</f>
        <v/>
      </c>
    </row>
    <row r="70" customFormat="false" ht="79.75" hidden="false" customHeight="false" outlineLevel="0" collapsed="false">
      <c r="B70" s="1" t="str">
        <f aca="false">UPPER(Prowler!C70)</f>
        <v/>
      </c>
      <c r="C70" s="1" t="str">
        <f aca="false">IF(Prowler!AL70&lt;&gt;"",Prowler!AL70, _xlfn.CONCAT("arn:aws:ec2:",F70,":",Prowler!AD70,":instance/",Prowler!AK70))</f>
        <v>arn:aws:ec2:::instance/</v>
      </c>
      <c r="F70" s="1" t="n">
        <f aca="false">Prowler!AJ70</f>
        <v>0</v>
      </c>
      <c r="G70" s="1" t="n">
        <f aca="false">Prowler!E70</f>
        <v>0</v>
      </c>
      <c r="H70" s="4" t="str">
        <f aca="false">_xlfn.TEXTJOIN(CHAR(10),1, Prowler!O70:Q70)</f>
        <v/>
      </c>
      <c r="I70" s="4" t="str">
        <f aca="false">_xlfn.TEXTJOIN(CHAR(10),1, Prowler!R70:W70)</f>
        <v/>
      </c>
      <c r="J70" s="1" t="n">
        <f aca="false">IF(Prowler!K70="critical",10, IF(Prowler!K70="high",7, IF(Prowler!K70="medium",5, 1)))</f>
        <v>1</v>
      </c>
      <c r="M70" s="3" t="n">
        <f aca="false">Prowler!A70</f>
        <v>0</v>
      </c>
      <c r="O70" s="4" t="str">
        <f aca="false">IF(Prowler!N70="", "", _xlfn.CONCAT("[{""key"":""",SUBSTITUTE(SUBSTITUTE(Prowler!N70,"=",""",""value"":""")," | ","""},{""key"":"""),"""}]"))</f>
        <v/>
      </c>
    </row>
    <row r="71" customFormat="false" ht="79.75" hidden="false" customHeight="false" outlineLevel="0" collapsed="false">
      <c r="B71" s="1" t="str">
        <f aca="false">UPPER(Prowler!C71)</f>
        <v/>
      </c>
      <c r="C71" s="1" t="str">
        <f aca="false">IF(Prowler!AL71&lt;&gt;"",Prowler!AL71, _xlfn.CONCAT("arn:aws:ec2:",F71,":",Prowler!AD71,":instance/",Prowler!AK71))</f>
        <v>arn:aws:ec2:::instance/</v>
      </c>
      <c r="F71" s="1" t="n">
        <f aca="false">Prowler!AJ71</f>
        <v>0</v>
      </c>
      <c r="G71" s="1" t="n">
        <f aca="false">Prowler!E71</f>
        <v>0</v>
      </c>
      <c r="H71" s="4" t="str">
        <f aca="false">_xlfn.TEXTJOIN(CHAR(10),1, Prowler!O71:Q71)</f>
        <v/>
      </c>
      <c r="I71" s="4" t="str">
        <f aca="false">_xlfn.TEXTJOIN(CHAR(10),1, Prowler!R71:W71)</f>
        <v/>
      </c>
      <c r="J71" s="1" t="n">
        <f aca="false">IF(Prowler!K71="critical",10, IF(Prowler!K71="high",7, IF(Prowler!K71="medium",5, 1)))</f>
        <v>1</v>
      </c>
      <c r="M71" s="3" t="n">
        <f aca="false">Prowler!A71</f>
        <v>0</v>
      </c>
      <c r="O71" s="4" t="str">
        <f aca="false">IF(Prowler!N71="", "", _xlfn.CONCAT("[{""key"":""",SUBSTITUTE(SUBSTITUTE(Prowler!N71,"=",""",""value"":""")," | ","""},{""key"":"""),"""}]"))</f>
        <v/>
      </c>
    </row>
    <row r="72" customFormat="false" ht="79.75" hidden="false" customHeight="false" outlineLevel="0" collapsed="false">
      <c r="B72" s="1" t="str">
        <f aca="false">UPPER(Prowler!C72)</f>
        <v/>
      </c>
      <c r="C72" s="1" t="str">
        <f aca="false">IF(Prowler!AL72&lt;&gt;"",Prowler!AL72, _xlfn.CONCAT("arn:aws:ec2:",F72,":",Prowler!AD72,":instance/",Prowler!AK72))</f>
        <v>arn:aws:ec2:::instance/</v>
      </c>
      <c r="F72" s="1" t="n">
        <f aca="false">Prowler!AJ72</f>
        <v>0</v>
      </c>
      <c r="G72" s="1" t="n">
        <f aca="false">Prowler!E72</f>
        <v>0</v>
      </c>
      <c r="H72" s="4" t="str">
        <f aca="false">_xlfn.TEXTJOIN(CHAR(10),1, Prowler!O72:Q72)</f>
        <v/>
      </c>
      <c r="I72" s="4" t="str">
        <f aca="false">_xlfn.TEXTJOIN(CHAR(10),1, Prowler!R72:W72)</f>
        <v/>
      </c>
      <c r="J72" s="1" t="n">
        <f aca="false">IF(Prowler!K72="critical",10, IF(Prowler!K72="high",7, IF(Prowler!K72="medium",5, 1)))</f>
        <v>1</v>
      </c>
      <c r="M72" s="3" t="n">
        <f aca="false">Prowler!A72</f>
        <v>0</v>
      </c>
      <c r="O72" s="4" t="str">
        <f aca="false">IF(Prowler!N72="", "", _xlfn.CONCAT("[{""key"":""",SUBSTITUTE(SUBSTITUTE(Prowler!N72,"=",""",""value"":""")," | ","""},{""key"":"""),"""}]"))</f>
        <v/>
      </c>
    </row>
    <row r="73" customFormat="false" ht="79.75" hidden="false" customHeight="false" outlineLevel="0" collapsed="false">
      <c r="B73" s="1" t="str">
        <f aca="false">UPPER(Prowler!C73)</f>
        <v/>
      </c>
      <c r="C73" s="1" t="str">
        <f aca="false">IF(Prowler!AL73&lt;&gt;"",Prowler!AL73, _xlfn.CONCAT("arn:aws:ec2:",F73,":",Prowler!AD73,":instance/",Prowler!AK73))</f>
        <v>arn:aws:ec2:::instance/</v>
      </c>
      <c r="F73" s="1" t="n">
        <f aca="false">Prowler!AJ73</f>
        <v>0</v>
      </c>
      <c r="G73" s="1" t="n">
        <f aca="false">Prowler!E73</f>
        <v>0</v>
      </c>
      <c r="H73" s="4" t="str">
        <f aca="false">_xlfn.TEXTJOIN(CHAR(10),1, Prowler!O73:Q73)</f>
        <v/>
      </c>
      <c r="I73" s="4" t="str">
        <f aca="false">_xlfn.TEXTJOIN(CHAR(10),1, Prowler!R73:W73)</f>
        <v/>
      </c>
      <c r="J73" s="1" t="n">
        <f aca="false">IF(Prowler!K73="critical",10, IF(Prowler!K73="high",7, IF(Prowler!K73="medium",5, 1)))</f>
        <v>1</v>
      </c>
      <c r="M73" s="3" t="n">
        <f aca="false">Prowler!A73</f>
        <v>0</v>
      </c>
      <c r="O73" s="4" t="str">
        <f aca="false">IF(Prowler!N73="", "", _xlfn.CONCAT("[{""key"":""",SUBSTITUTE(SUBSTITUTE(Prowler!N73,"=",""",""value"":""")," | ","""},{""key"":"""),"""}]"))</f>
        <v/>
      </c>
    </row>
    <row r="74" customFormat="false" ht="79.75" hidden="false" customHeight="false" outlineLevel="0" collapsed="false">
      <c r="B74" s="1" t="str">
        <f aca="false">UPPER(Prowler!C74)</f>
        <v/>
      </c>
      <c r="C74" s="1" t="str">
        <f aca="false">IF(Prowler!AL74&lt;&gt;"",Prowler!AL74, _xlfn.CONCAT("arn:aws:ec2:",F74,":",Prowler!AD74,":instance/",Prowler!AK74))</f>
        <v>arn:aws:ec2:::instance/</v>
      </c>
      <c r="F74" s="1" t="n">
        <f aca="false">Prowler!AJ74</f>
        <v>0</v>
      </c>
      <c r="G74" s="1" t="n">
        <f aca="false">Prowler!E74</f>
        <v>0</v>
      </c>
      <c r="H74" s="4" t="str">
        <f aca="false">_xlfn.TEXTJOIN(CHAR(10),1, Prowler!O74:Q74)</f>
        <v/>
      </c>
      <c r="I74" s="4" t="str">
        <f aca="false">_xlfn.TEXTJOIN(CHAR(10),1, Prowler!R74:W74)</f>
        <v/>
      </c>
      <c r="J74" s="1" t="n">
        <f aca="false">IF(Prowler!K74="critical",10, IF(Prowler!K74="high",7, IF(Prowler!K74="medium",5, 1)))</f>
        <v>1</v>
      </c>
      <c r="M74" s="3" t="n">
        <f aca="false">Prowler!A74</f>
        <v>0</v>
      </c>
      <c r="O74" s="4" t="str">
        <f aca="false">IF(Prowler!N74="", "", _xlfn.CONCAT("[{""key"":""",SUBSTITUTE(SUBSTITUTE(Prowler!N74,"=",""",""value"":""")," | ","""},{""key"":"""),"""}]"))</f>
        <v/>
      </c>
    </row>
    <row r="75" customFormat="false" ht="90.7" hidden="false" customHeight="false" outlineLevel="0" collapsed="false">
      <c r="B75" s="1" t="str">
        <f aca="false">UPPER(Prowler!C75)</f>
        <v/>
      </c>
      <c r="C75" s="1" t="str">
        <f aca="false">IF(Prowler!AL75&lt;&gt;"",Prowler!AL75, _xlfn.CONCAT("arn:aws:ec2:",F75,":",Prowler!AD75,":instance/",Prowler!AK75))</f>
        <v>arn:aws:ec2:::instance/</v>
      </c>
      <c r="F75" s="1" t="n">
        <f aca="false">Prowler!AJ75</f>
        <v>0</v>
      </c>
      <c r="G75" s="1" t="n">
        <f aca="false">Prowler!E75</f>
        <v>0</v>
      </c>
      <c r="H75" s="4" t="str">
        <f aca="false">_xlfn.TEXTJOIN(CHAR(10),1, Prowler!O75:Q75)</f>
        <v/>
      </c>
      <c r="I75" s="4" t="str">
        <f aca="false">_xlfn.TEXTJOIN(CHAR(10),1, Prowler!R75:W75)</f>
        <v/>
      </c>
      <c r="J75" s="1" t="n">
        <f aca="false">IF(Prowler!K75="critical",10, IF(Prowler!K75="high",7, IF(Prowler!K75="medium",5, 1)))</f>
        <v>1</v>
      </c>
      <c r="M75" s="3" t="n">
        <f aca="false">Prowler!A75</f>
        <v>0</v>
      </c>
      <c r="O75" s="4" t="str">
        <f aca="false">IF(Prowler!N75="", "", _xlfn.CONCAT("[{""key"":""",SUBSTITUTE(SUBSTITUTE(Prowler!N75,"=",""",""value"":""")," | ","""},{""key"":"""),"""}]"))</f>
        <v/>
      </c>
    </row>
    <row r="76" customFormat="false" ht="79.75" hidden="false" customHeight="false" outlineLevel="0" collapsed="false">
      <c r="B76" s="1" t="str">
        <f aca="false">UPPER(Prowler!C76)</f>
        <v/>
      </c>
      <c r="C76" s="1" t="str">
        <f aca="false">IF(Prowler!AL76&lt;&gt;"",Prowler!AL76, _xlfn.CONCAT("arn:aws:ec2:",F76,":",Prowler!AD76,":instance/",Prowler!AK76))</f>
        <v>arn:aws:ec2:::instance/</v>
      </c>
      <c r="F76" s="1" t="n">
        <f aca="false">Prowler!AJ76</f>
        <v>0</v>
      </c>
      <c r="G76" s="1" t="n">
        <f aca="false">Prowler!E76</f>
        <v>0</v>
      </c>
      <c r="H76" s="4" t="str">
        <f aca="false">_xlfn.TEXTJOIN(CHAR(10),1, Prowler!O76:Q76)</f>
        <v/>
      </c>
      <c r="I76" s="4" t="str">
        <f aca="false">_xlfn.TEXTJOIN(CHAR(10),1, Prowler!R76:W76)</f>
        <v/>
      </c>
      <c r="J76" s="1" t="n">
        <f aca="false">IF(Prowler!K76="critical",10, IF(Prowler!K76="high",7, IF(Prowler!K76="medium",5, 1)))</f>
        <v>1</v>
      </c>
      <c r="M76" s="3" t="n">
        <f aca="false">Prowler!A76</f>
        <v>0</v>
      </c>
      <c r="O76" s="4" t="str">
        <f aca="false">IF(Prowler!N76="", "", _xlfn.CONCAT("[{""key"":""",SUBSTITUTE(SUBSTITUTE(Prowler!N76,"=",""",""value"":""")," | ","""},{""key"":"""),"""}]"))</f>
        <v/>
      </c>
    </row>
    <row r="77" customFormat="false" ht="79.75" hidden="false" customHeight="false" outlineLevel="0" collapsed="false">
      <c r="B77" s="1" t="str">
        <f aca="false">UPPER(Prowler!C77)</f>
        <v/>
      </c>
      <c r="C77" s="1" t="str">
        <f aca="false">IF(Prowler!AL77&lt;&gt;"",Prowler!AL77, _xlfn.CONCAT("arn:aws:ec2:",F77,":",Prowler!AD77,":instance/",Prowler!AK77))</f>
        <v>arn:aws:ec2:::instance/</v>
      </c>
      <c r="F77" s="1" t="n">
        <f aca="false">Prowler!AJ77</f>
        <v>0</v>
      </c>
      <c r="G77" s="1" t="n">
        <f aca="false">Prowler!E77</f>
        <v>0</v>
      </c>
      <c r="H77" s="4" t="str">
        <f aca="false">_xlfn.TEXTJOIN(CHAR(10),1, Prowler!O77:Q77)</f>
        <v/>
      </c>
      <c r="I77" s="4" t="str">
        <f aca="false">_xlfn.TEXTJOIN(CHAR(10),1, Prowler!R77:W77)</f>
        <v/>
      </c>
      <c r="J77" s="1" t="n">
        <f aca="false">IF(Prowler!K77="critical",10, IF(Prowler!K77="high",7, IF(Prowler!K77="medium",5, 1)))</f>
        <v>1</v>
      </c>
      <c r="M77" s="3" t="n">
        <f aca="false">Prowler!A77</f>
        <v>0</v>
      </c>
      <c r="O77" s="4" t="str">
        <f aca="false">IF(Prowler!N77="", "", _xlfn.CONCAT("[{""key"":""",SUBSTITUTE(SUBSTITUTE(Prowler!N77,"=",""",""value"":""")," | ","""},{""key"":"""),"""}]"))</f>
        <v/>
      </c>
    </row>
    <row r="78" customFormat="false" ht="79.75" hidden="false" customHeight="false" outlineLevel="0" collapsed="false">
      <c r="B78" s="1" t="str">
        <f aca="false">UPPER(Prowler!C78)</f>
        <v/>
      </c>
      <c r="C78" s="1" t="str">
        <f aca="false">IF(Prowler!AL78&lt;&gt;"",Prowler!AL78, _xlfn.CONCAT("arn:aws:ec2:",F78,":",Prowler!AD78,":instance/",Prowler!AK78))</f>
        <v>arn:aws:ec2:::instance/</v>
      </c>
      <c r="F78" s="1" t="n">
        <f aca="false">Prowler!AJ78</f>
        <v>0</v>
      </c>
      <c r="G78" s="1" t="n">
        <f aca="false">Prowler!E78</f>
        <v>0</v>
      </c>
      <c r="H78" s="4" t="str">
        <f aca="false">_xlfn.TEXTJOIN(CHAR(10),1, Prowler!O78:Q78)</f>
        <v/>
      </c>
      <c r="I78" s="4" t="str">
        <f aca="false">_xlfn.TEXTJOIN(CHAR(10),1, Prowler!R78:W78)</f>
        <v/>
      </c>
      <c r="J78" s="1" t="n">
        <f aca="false">IF(Prowler!K78="critical",10, IF(Prowler!K78="high",7, IF(Prowler!K78="medium",5, 1)))</f>
        <v>1</v>
      </c>
      <c r="M78" s="3" t="n">
        <f aca="false">Prowler!A78</f>
        <v>0</v>
      </c>
      <c r="O78" s="4" t="str">
        <f aca="false">IF(Prowler!N78="", "", _xlfn.CONCAT("[{""key"":""",SUBSTITUTE(SUBSTITUTE(Prowler!N78,"=",""",""value"":""")," | ","""},{""key"":"""),"""}]"))</f>
        <v/>
      </c>
    </row>
    <row r="79" customFormat="false" ht="79.75" hidden="false" customHeight="false" outlineLevel="0" collapsed="false">
      <c r="B79" s="1" t="str">
        <f aca="false">UPPER(Prowler!C79)</f>
        <v/>
      </c>
      <c r="C79" s="1" t="str">
        <f aca="false">IF(Prowler!AL79&lt;&gt;"",Prowler!AL79, _xlfn.CONCAT("arn:aws:ec2:",F79,":",Prowler!AD79,":instance/",Prowler!AK79))</f>
        <v>arn:aws:ec2:::instance/</v>
      </c>
      <c r="F79" s="1" t="n">
        <f aca="false">Prowler!AJ79</f>
        <v>0</v>
      </c>
      <c r="G79" s="1" t="n">
        <f aca="false">Prowler!E79</f>
        <v>0</v>
      </c>
      <c r="H79" s="4" t="str">
        <f aca="false">_xlfn.TEXTJOIN(CHAR(10),1, Prowler!O79:Q79)</f>
        <v/>
      </c>
      <c r="I79" s="4" t="str">
        <f aca="false">_xlfn.TEXTJOIN(CHAR(10),1, Prowler!R79:W79)</f>
        <v/>
      </c>
      <c r="J79" s="1" t="n">
        <f aca="false">IF(Prowler!K79="critical",10, IF(Prowler!K79="high",7, IF(Prowler!K79="medium",5, 1)))</f>
        <v>1</v>
      </c>
      <c r="M79" s="3" t="n">
        <f aca="false">Prowler!A79</f>
        <v>0</v>
      </c>
      <c r="O79" s="4" t="str">
        <f aca="false">IF(Prowler!N79="", "", _xlfn.CONCAT("[{""key"":""",SUBSTITUTE(SUBSTITUTE(Prowler!N79,"=",""",""value"":""")," | ","""},{""key"":"""),"""}]"))</f>
        <v/>
      </c>
    </row>
    <row r="80" customFormat="false" ht="79.75" hidden="false" customHeight="false" outlineLevel="0" collapsed="false">
      <c r="B80" s="1" t="str">
        <f aca="false">UPPER(Prowler!C80)</f>
        <v/>
      </c>
      <c r="C80" s="1" t="str">
        <f aca="false">IF(Prowler!AL80&lt;&gt;"",Prowler!AL80, _xlfn.CONCAT("arn:aws:ec2:",F80,":",Prowler!AD80,":instance/",Prowler!AK80))</f>
        <v>arn:aws:ec2:::instance/</v>
      </c>
      <c r="F80" s="1" t="n">
        <f aca="false">Prowler!AJ80</f>
        <v>0</v>
      </c>
      <c r="G80" s="1" t="n">
        <f aca="false">Prowler!E80</f>
        <v>0</v>
      </c>
      <c r="H80" s="4" t="str">
        <f aca="false">_xlfn.TEXTJOIN(CHAR(10),1, Prowler!O80:Q80)</f>
        <v/>
      </c>
      <c r="I80" s="4" t="str">
        <f aca="false">_xlfn.TEXTJOIN(CHAR(10),1, Prowler!R80:W80)</f>
        <v/>
      </c>
      <c r="J80" s="1" t="n">
        <f aca="false">IF(Prowler!K80="critical",10, IF(Prowler!K80="high",7, IF(Prowler!K80="medium",5, 1)))</f>
        <v>1</v>
      </c>
      <c r="M80" s="3" t="n">
        <f aca="false">Prowler!A80</f>
        <v>0</v>
      </c>
      <c r="O80" s="4" t="str">
        <f aca="false">IF(Prowler!N80="", "", _xlfn.CONCAT("[{""key"":""",SUBSTITUTE(SUBSTITUTE(Prowler!N80,"=",""",""value"":""")," | ","""},{""key"":"""),"""}]"))</f>
        <v/>
      </c>
    </row>
    <row r="81" customFormat="false" ht="79.75" hidden="false" customHeight="false" outlineLevel="0" collapsed="false">
      <c r="B81" s="1" t="str">
        <f aca="false">UPPER(Prowler!C81)</f>
        <v/>
      </c>
      <c r="C81" s="1" t="str">
        <f aca="false">IF(Prowler!AL81&lt;&gt;"",Prowler!AL81, _xlfn.CONCAT("arn:aws:ec2:",F81,":",Prowler!AD81,":instance/",Prowler!AK81))</f>
        <v>arn:aws:ec2:::instance/</v>
      </c>
      <c r="F81" s="1" t="n">
        <f aca="false">Prowler!AJ81</f>
        <v>0</v>
      </c>
      <c r="G81" s="1" t="n">
        <f aca="false">Prowler!E81</f>
        <v>0</v>
      </c>
      <c r="H81" s="4" t="str">
        <f aca="false">_xlfn.TEXTJOIN(CHAR(10),1, Prowler!O81:Q81)</f>
        <v/>
      </c>
      <c r="I81" s="4" t="str">
        <f aca="false">_xlfn.TEXTJOIN(CHAR(10),1, Prowler!R81:W81)</f>
        <v/>
      </c>
      <c r="J81" s="1" t="n">
        <f aca="false">IF(Prowler!K81="critical",10, IF(Prowler!K81="high",7, IF(Prowler!K81="medium",5, 1)))</f>
        <v>1</v>
      </c>
      <c r="M81" s="3" t="n">
        <f aca="false">Prowler!A81</f>
        <v>0</v>
      </c>
      <c r="O81" s="4" t="str">
        <f aca="false">IF(Prowler!N81="", "", _xlfn.CONCAT("[{""key"":""",SUBSTITUTE(SUBSTITUTE(Prowler!N81,"=",""",""value"":""")," | ","""},{""key"":"""),"""}]"))</f>
        <v/>
      </c>
    </row>
    <row r="82" customFormat="false" ht="90.7" hidden="false" customHeight="false" outlineLevel="0" collapsed="false">
      <c r="B82" s="1" t="str">
        <f aca="false">UPPER(Prowler!C82)</f>
        <v/>
      </c>
      <c r="C82" s="1" t="str">
        <f aca="false">IF(Prowler!AL82&lt;&gt;"",Prowler!AL82, _xlfn.CONCAT("arn:aws:ec2:",F82,":",Prowler!AD82,":instance/",Prowler!AK82))</f>
        <v>arn:aws:ec2:::instance/</v>
      </c>
      <c r="F82" s="1" t="n">
        <f aca="false">Prowler!AJ82</f>
        <v>0</v>
      </c>
      <c r="G82" s="1" t="n">
        <f aca="false">Prowler!E82</f>
        <v>0</v>
      </c>
      <c r="H82" s="4" t="str">
        <f aca="false">_xlfn.TEXTJOIN(CHAR(10),1, Prowler!O82:Q82)</f>
        <v/>
      </c>
      <c r="I82" s="4" t="str">
        <f aca="false">_xlfn.TEXTJOIN(CHAR(10),1, Prowler!R82:W82)</f>
        <v/>
      </c>
      <c r="J82" s="1" t="n">
        <f aca="false">IF(Prowler!K82="critical",10, IF(Prowler!K82="high",7, IF(Prowler!K82="medium",5, 1)))</f>
        <v>1</v>
      </c>
      <c r="M82" s="3" t="n">
        <f aca="false">Prowler!A82</f>
        <v>0</v>
      </c>
      <c r="O82" s="4" t="str">
        <f aca="false">IF(Prowler!N82="", "", _xlfn.CONCAT("[{""key"":""",SUBSTITUTE(SUBSTITUTE(Prowler!N82,"=",""",""value"":""")," | ","""},{""key"":"""),"""}]"))</f>
        <v/>
      </c>
    </row>
    <row r="83" customFormat="false" ht="90.7" hidden="false" customHeight="false" outlineLevel="0" collapsed="false">
      <c r="B83" s="1" t="str">
        <f aca="false">UPPER(Prowler!C83)</f>
        <v/>
      </c>
      <c r="C83" s="1" t="str">
        <f aca="false">IF(Prowler!AL83&lt;&gt;"",Prowler!AL83, _xlfn.CONCAT("arn:aws:ec2:",F83,":",Prowler!AD83,":instance/",Prowler!AK83))</f>
        <v>arn:aws:ec2:::instance/</v>
      </c>
      <c r="F83" s="1" t="n">
        <f aca="false">Prowler!AJ83</f>
        <v>0</v>
      </c>
      <c r="G83" s="1" t="n">
        <f aca="false">Prowler!E83</f>
        <v>0</v>
      </c>
      <c r="H83" s="4" t="str">
        <f aca="false">_xlfn.TEXTJOIN(CHAR(10),1, Prowler!O83:Q83)</f>
        <v/>
      </c>
      <c r="I83" s="4" t="str">
        <f aca="false">_xlfn.TEXTJOIN(CHAR(10),1, Prowler!R83:W83)</f>
        <v/>
      </c>
      <c r="J83" s="1" t="n">
        <f aca="false">IF(Prowler!K83="critical",10, IF(Prowler!K83="high",7, IF(Prowler!K83="medium",5, 1)))</f>
        <v>1</v>
      </c>
      <c r="M83" s="3" t="n">
        <f aca="false">Prowler!A83</f>
        <v>0</v>
      </c>
      <c r="O83" s="4" t="str">
        <f aca="false">IF(Prowler!N83="", "", _xlfn.CONCAT("[{""key"":""",SUBSTITUTE(SUBSTITUTE(Prowler!N83,"=",""",""value"":""")," | ","""},{""key"":"""),"""}]"))</f>
        <v/>
      </c>
    </row>
    <row r="84" customFormat="false" ht="90.7" hidden="false" customHeight="false" outlineLevel="0" collapsed="false">
      <c r="B84" s="1" t="str">
        <f aca="false">UPPER(Prowler!C84)</f>
        <v/>
      </c>
      <c r="C84" s="1" t="str">
        <f aca="false">IF(Prowler!AL84&lt;&gt;"",Prowler!AL84, _xlfn.CONCAT("arn:aws:ec2:",F84,":",Prowler!AD84,":instance/",Prowler!AK84))</f>
        <v>arn:aws:ec2:::instance/</v>
      </c>
      <c r="F84" s="1" t="n">
        <f aca="false">Prowler!AJ84</f>
        <v>0</v>
      </c>
      <c r="G84" s="1" t="n">
        <f aca="false">Prowler!E84</f>
        <v>0</v>
      </c>
      <c r="H84" s="4" t="str">
        <f aca="false">_xlfn.TEXTJOIN(CHAR(10),1, Prowler!O84:Q84)</f>
        <v/>
      </c>
      <c r="I84" s="4" t="str">
        <f aca="false">_xlfn.TEXTJOIN(CHAR(10),1, Prowler!R84:W84)</f>
        <v/>
      </c>
      <c r="J84" s="1" t="n">
        <f aca="false">IF(Prowler!K84="critical",10, IF(Prowler!K84="high",7, IF(Prowler!K84="medium",5, 1)))</f>
        <v>1</v>
      </c>
      <c r="M84" s="3" t="n">
        <f aca="false">Prowler!A84</f>
        <v>0</v>
      </c>
      <c r="O84" s="4" t="str">
        <f aca="false">IF(Prowler!N84="", "", _xlfn.CONCAT("[{""key"":""",SUBSTITUTE(SUBSTITUTE(Prowler!N84,"=",""",""value"":""")," | ","""},{""key"":"""),"""}]"))</f>
        <v/>
      </c>
    </row>
    <row r="85" customFormat="false" ht="90.7" hidden="false" customHeight="false" outlineLevel="0" collapsed="false">
      <c r="B85" s="1" t="str">
        <f aca="false">UPPER(Prowler!C85)</f>
        <v/>
      </c>
      <c r="C85" s="1" t="str">
        <f aca="false">IF(Prowler!AL85&lt;&gt;"",Prowler!AL85, _xlfn.CONCAT("arn:aws:ec2:",F85,":",Prowler!AD85,":instance/",Prowler!AK85))</f>
        <v>arn:aws:ec2:::instance/</v>
      </c>
      <c r="F85" s="1" t="n">
        <f aca="false">Prowler!AJ85</f>
        <v>0</v>
      </c>
      <c r="G85" s="1" t="n">
        <f aca="false">Prowler!E85</f>
        <v>0</v>
      </c>
      <c r="H85" s="4" t="str">
        <f aca="false">_xlfn.TEXTJOIN(CHAR(10),1, Prowler!O85:Q85)</f>
        <v/>
      </c>
      <c r="I85" s="4" t="str">
        <f aca="false">_xlfn.TEXTJOIN(CHAR(10),1, Prowler!R85:W85)</f>
        <v/>
      </c>
      <c r="J85" s="1" t="n">
        <f aca="false">IF(Prowler!K85="critical",10, IF(Prowler!K85="high",7, IF(Prowler!K85="medium",5, 1)))</f>
        <v>1</v>
      </c>
      <c r="M85" s="3" t="n">
        <f aca="false">Prowler!A85</f>
        <v>0</v>
      </c>
      <c r="O85" s="4" t="str">
        <f aca="false">IF(Prowler!N85="", "", _xlfn.CONCAT("[{""key"":""",SUBSTITUTE(SUBSTITUTE(Prowler!N85,"=",""",""value"":""")," | ","""},{""key"":"""),"""}]"))</f>
        <v/>
      </c>
    </row>
    <row r="86" customFormat="false" ht="90.7" hidden="false" customHeight="false" outlineLevel="0" collapsed="false">
      <c r="B86" s="1" t="str">
        <f aca="false">UPPER(Prowler!C86)</f>
        <v/>
      </c>
      <c r="C86" s="1" t="str">
        <f aca="false">IF(Prowler!AL86&lt;&gt;"",Prowler!AL86, _xlfn.CONCAT("arn:aws:ec2:",F86,":",Prowler!AD86,":instance/",Prowler!AK86))</f>
        <v>arn:aws:ec2:::instance/</v>
      </c>
      <c r="F86" s="1" t="n">
        <f aca="false">Prowler!AJ86</f>
        <v>0</v>
      </c>
      <c r="G86" s="1" t="n">
        <f aca="false">Prowler!E86</f>
        <v>0</v>
      </c>
      <c r="H86" s="4" t="str">
        <f aca="false">_xlfn.TEXTJOIN(CHAR(10),1, Prowler!O86:Q86)</f>
        <v/>
      </c>
      <c r="I86" s="4" t="str">
        <f aca="false">_xlfn.TEXTJOIN(CHAR(10),1, Prowler!R86:W86)</f>
        <v/>
      </c>
      <c r="J86" s="1" t="n">
        <f aca="false">IF(Prowler!K86="critical",10, IF(Prowler!K86="high",7, IF(Prowler!K86="medium",5, 1)))</f>
        <v>1</v>
      </c>
      <c r="M86" s="3" t="n">
        <f aca="false">Prowler!A86</f>
        <v>0</v>
      </c>
      <c r="O86" s="4" t="str">
        <f aca="false">IF(Prowler!N86="", "", _xlfn.CONCAT("[{""key"":""",SUBSTITUTE(SUBSTITUTE(Prowler!N86,"=",""",""value"":""")," | ","""},{""key"":"""),"""}]"))</f>
        <v/>
      </c>
    </row>
    <row r="87" customFormat="false" ht="90.7" hidden="false" customHeight="false" outlineLevel="0" collapsed="false">
      <c r="B87" s="1" t="str">
        <f aca="false">UPPER(Prowler!C87)</f>
        <v/>
      </c>
      <c r="C87" s="1" t="str">
        <f aca="false">IF(Prowler!AL87&lt;&gt;"",Prowler!AL87, _xlfn.CONCAT("arn:aws:ec2:",F87,":",Prowler!AD87,":instance/",Prowler!AK87))</f>
        <v>arn:aws:ec2:::instance/</v>
      </c>
      <c r="F87" s="1" t="n">
        <f aca="false">Prowler!AJ87</f>
        <v>0</v>
      </c>
      <c r="G87" s="1" t="n">
        <f aca="false">Prowler!E87</f>
        <v>0</v>
      </c>
      <c r="H87" s="4" t="str">
        <f aca="false">_xlfn.TEXTJOIN(CHAR(10),1, Prowler!O87:Q87)</f>
        <v/>
      </c>
      <c r="I87" s="4" t="str">
        <f aca="false">_xlfn.TEXTJOIN(CHAR(10),1, Prowler!R87:W87)</f>
        <v/>
      </c>
      <c r="J87" s="1" t="n">
        <f aca="false">IF(Prowler!K87="critical",10, IF(Prowler!K87="high",7, IF(Prowler!K87="medium",5, 1)))</f>
        <v>1</v>
      </c>
      <c r="M87" s="3" t="n">
        <f aca="false">Prowler!A87</f>
        <v>0</v>
      </c>
      <c r="O87" s="4" t="str">
        <f aca="false">IF(Prowler!N87="", "", _xlfn.CONCAT("[{""key"":""",SUBSTITUTE(SUBSTITUTE(Prowler!N87,"=",""",""value"":""")," | ","""},{""key"":"""),"""}]"))</f>
        <v/>
      </c>
    </row>
    <row r="88" customFormat="false" ht="90.7" hidden="false" customHeight="false" outlineLevel="0" collapsed="false">
      <c r="B88" s="1" t="str">
        <f aca="false">UPPER(Prowler!C88)</f>
        <v/>
      </c>
      <c r="C88" s="1" t="str">
        <f aca="false">IF(Prowler!AL88&lt;&gt;"",Prowler!AL88, _xlfn.CONCAT("arn:aws:ec2:",F88,":",Prowler!AD88,":instance/",Prowler!AK88))</f>
        <v>arn:aws:ec2:::instance/</v>
      </c>
      <c r="F88" s="1" t="n">
        <f aca="false">Prowler!AJ88</f>
        <v>0</v>
      </c>
      <c r="G88" s="1" t="n">
        <f aca="false">Prowler!E88</f>
        <v>0</v>
      </c>
      <c r="H88" s="4" t="str">
        <f aca="false">_xlfn.TEXTJOIN(CHAR(10),1, Prowler!O88:Q88)</f>
        <v/>
      </c>
      <c r="I88" s="4" t="str">
        <f aca="false">_xlfn.TEXTJOIN(CHAR(10),1, Prowler!R88:W88)</f>
        <v/>
      </c>
      <c r="J88" s="1" t="n">
        <f aca="false">IF(Prowler!K88="critical",10, IF(Prowler!K88="high",7, IF(Prowler!K88="medium",5, 1)))</f>
        <v>1</v>
      </c>
      <c r="M88" s="3" t="n">
        <f aca="false">Prowler!A88</f>
        <v>0</v>
      </c>
      <c r="O88" s="4" t="str">
        <f aca="false">IF(Prowler!N88="", "", _xlfn.CONCAT("[{""key"":""",SUBSTITUTE(SUBSTITUTE(Prowler!N88,"=",""",""value"":""")," | ","""},{""key"":"""),"""}]"))</f>
        <v/>
      </c>
    </row>
    <row r="89" customFormat="false" ht="90.7" hidden="false" customHeight="false" outlineLevel="0" collapsed="false">
      <c r="B89" s="1" t="str">
        <f aca="false">UPPER(Prowler!C89)</f>
        <v/>
      </c>
      <c r="C89" s="1" t="str">
        <f aca="false">IF(Prowler!AL89&lt;&gt;"",Prowler!AL89, _xlfn.CONCAT("arn:aws:ec2:",F89,":",Prowler!AD89,":instance/",Prowler!AK89))</f>
        <v>arn:aws:ec2:::instance/</v>
      </c>
      <c r="F89" s="1" t="n">
        <f aca="false">Prowler!AJ89</f>
        <v>0</v>
      </c>
      <c r="G89" s="1" t="n">
        <f aca="false">Prowler!E89</f>
        <v>0</v>
      </c>
      <c r="H89" s="4" t="str">
        <f aca="false">_xlfn.TEXTJOIN(CHAR(10),1, Prowler!O89:Q89)</f>
        <v/>
      </c>
      <c r="I89" s="4" t="str">
        <f aca="false">_xlfn.TEXTJOIN(CHAR(10),1, Prowler!R89:W89)</f>
        <v/>
      </c>
      <c r="J89" s="1" t="n">
        <f aca="false">IF(Prowler!K89="critical",10, IF(Prowler!K89="high",7, IF(Prowler!K89="medium",5, 1)))</f>
        <v>1</v>
      </c>
      <c r="M89" s="3" t="n">
        <f aca="false">Prowler!A89</f>
        <v>0</v>
      </c>
      <c r="O89" s="4" t="str">
        <f aca="false">IF(Prowler!N89="", "", _xlfn.CONCAT("[{""key"":""",SUBSTITUTE(SUBSTITUTE(Prowler!N89,"=",""",""value"":""")," | ","""},{""key"":"""),"""}]"))</f>
        <v/>
      </c>
    </row>
    <row r="90" customFormat="false" ht="90.7" hidden="false" customHeight="false" outlineLevel="0" collapsed="false">
      <c r="B90" s="1" t="str">
        <f aca="false">UPPER(Prowler!C90)</f>
        <v/>
      </c>
      <c r="C90" s="1" t="str">
        <f aca="false">IF(Prowler!AL90&lt;&gt;"",Prowler!AL90, _xlfn.CONCAT("arn:aws:ec2:",F90,":",Prowler!AD90,":instance/",Prowler!AK90))</f>
        <v>arn:aws:ec2:::instance/</v>
      </c>
      <c r="F90" s="1" t="n">
        <f aca="false">Prowler!AJ90</f>
        <v>0</v>
      </c>
      <c r="G90" s="1" t="n">
        <f aca="false">Prowler!E90</f>
        <v>0</v>
      </c>
      <c r="H90" s="4" t="str">
        <f aca="false">_xlfn.TEXTJOIN(CHAR(10),1, Prowler!O90:Q90)</f>
        <v/>
      </c>
      <c r="I90" s="4" t="str">
        <f aca="false">_xlfn.TEXTJOIN(CHAR(10),1, Prowler!R90:W90)</f>
        <v/>
      </c>
      <c r="J90" s="1" t="n">
        <f aca="false">IF(Prowler!K90="critical",10, IF(Prowler!K90="high",7, IF(Prowler!K90="medium",5, 1)))</f>
        <v>1</v>
      </c>
      <c r="M90" s="3" t="n">
        <f aca="false">Prowler!A90</f>
        <v>0</v>
      </c>
      <c r="O90" s="4" t="str">
        <f aca="false">IF(Prowler!N90="", "", _xlfn.CONCAT("[{""key"":""",SUBSTITUTE(SUBSTITUTE(Prowler!N90,"=",""",""value"":""")," | ","""},{""key"":"""),"""}]"))</f>
        <v/>
      </c>
    </row>
    <row r="91" customFormat="false" ht="90.7" hidden="false" customHeight="false" outlineLevel="0" collapsed="false">
      <c r="B91" s="1" t="str">
        <f aca="false">UPPER(Prowler!C91)</f>
        <v/>
      </c>
      <c r="C91" s="1" t="str">
        <f aca="false">IF(Prowler!AL91&lt;&gt;"",Prowler!AL91, _xlfn.CONCAT("arn:aws:ec2:",F91,":",Prowler!AD91,":instance/",Prowler!AK91))</f>
        <v>arn:aws:ec2:::instance/</v>
      </c>
      <c r="F91" s="1" t="n">
        <f aca="false">Prowler!AJ91</f>
        <v>0</v>
      </c>
      <c r="G91" s="1" t="n">
        <f aca="false">Prowler!E91</f>
        <v>0</v>
      </c>
      <c r="H91" s="4" t="str">
        <f aca="false">_xlfn.TEXTJOIN(CHAR(10),1, Prowler!O91:Q91)</f>
        <v/>
      </c>
      <c r="I91" s="4" t="str">
        <f aca="false">_xlfn.TEXTJOIN(CHAR(10),1, Prowler!R91:W91)</f>
        <v/>
      </c>
      <c r="J91" s="1" t="n">
        <f aca="false">IF(Prowler!K91="critical",10, IF(Prowler!K91="high",7, IF(Prowler!K91="medium",5, 1)))</f>
        <v>1</v>
      </c>
      <c r="M91" s="3" t="n">
        <f aca="false">Prowler!A91</f>
        <v>0</v>
      </c>
      <c r="O91" s="4" t="str">
        <f aca="false">IF(Prowler!N91="", "", _xlfn.CONCAT("[{""key"":""",SUBSTITUTE(SUBSTITUTE(Prowler!N91,"=",""",""value"":""")," | ","""},{""key"":"""),"""}]"))</f>
        <v/>
      </c>
    </row>
    <row r="92" customFormat="false" ht="90.7" hidden="false" customHeight="false" outlineLevel="0" collapsed="false">
      <c r="B92" s="1" t="str">
        <f aca="false">UPPER(Prowler!C92)</f>
        <v/>
      </c>
      <c r="C92" s="1" t="str">
        <f aca="false">IF(Prowler!AL92&lt;&gt;"",Prowler!AL92, _xlfn.CONCAT("arn:aws:ec2:",F92,":",Prowler!AD92,":instance/",Prowler!AK92))</f>
        <v>arn:aws:ec2:::instance/</v>
      </c>
      <c r="F92" s="1" t="n">
        <f aca="false">Prowler!AJ92</f>
        <v>0</v>
      </c>
      <c r="G92" s="1" t="n">
        <f aca="false">Prowler!E92</f>
        <v>0</v>
      </c>
      <c r="H92" s="4" t="str">
        <f aca="false">_xlfn.TEXTJOIN(CHAR(10),1, Prowler!O92:Q92)</f>
        <v/>
      </c>
      <c r="I92" s="4" t="str">
        <f aca="false">_xlfn.TEXTJOIN(CHAR(10),1, Prowler!R92:W92)</f>
        <v/>
      </c>
      <c r="J92" s="1" t="n">
        <f aca="false">IF(Prowler!K92="critical",10, IF(Prowler!K92="high",7, IF(Prowler!K92="medium",5, 1)))</f>
        <v>1</v>
      </c>
      <c r="M92" s="3" t="n">
        <f aca="false">Prowler!A92</f>
        <v>0</v>
      </c>
      <c r="O92" s="4" t="str">
        <f aca="false">IF(Prowler!N92="", "", _xlfn.CONCAT("[{""key"":""",SUBSTITUTE(SUBSTITUTE(Prowler!N92,"=",""",""value"":""")," | ","""},{""key"":"""),"""}]"))</f>
        <v/>
      </c>
    </row>
    <row r="93" customFormat="false" ht="90.7" hidden="false" customHeight="false" outlineLevel="0" collapsed="false">
      <c r="B93" s="1" t="str">
        <f aca="false">UPPER(Prowler!C93)</f>
        <v/>
      </c>
      <c r="C93" s="1" t="str">
        <f aca="false">IF(Prowler!AL93&lt;&gt;"",Prowler!AL93, _xlfn.CONCAT("arn:aws:ec2:",F93,":",Prowler!AD93,":instance/",Prowler!AK93))</f>
        <v>arn:aws:ec2:::instance/</v>
      </c>
      <c r="F93" s="1" t="n">
        <f aca="false">Prowler!AJ93</f>
        <v>0</v>
      </c>
      <c r="G93" s="1" t="n">
        <f aca="false">Prowler!E93</f>
        <v>0</v>
      </c>
      <c r="H93" s="4" t="str">
        <f aca="false">_xlfn.TEXTJOIN(CHAR(10),1, Prowler!O93:Q93)</f>
        <v/>
      </c>
      <c r="I93" s="4" t="str">
        <f aca="false">_xlfn.TEXTJOIN(CHAR(10),1, Prowler!R93:W93)</f>
        <v/>
      </c>
      <c r="J93" s="1" t="n">
        <f aca="false">IF(Prowler!K93="critical",10, IF(Prowler!K93="high",7, IF(Prowler!K93="medium",5, 1)))</f>
        <v>1</v>
      </c>
      <c r="M93" s="3" t="n">
        <f aca="false">Prowler!A93</f>
        <v>0</v>
      </c>
      <c r="O93" s="4" t="str">
        <f aca="false">IF(Prowler!N93="", "", _xlfn.CONCAT("[{""key"":""",SUBSTITUTE(SUBSTITUTE(Prowler!N93,"=",""",""value"":""")," | ","""},{""key"":"""),"""}]"))</f>
        <v/>
      </c>
    </row>
    <row r="94" customFormat="false" ht="90.7" hidden="false" customHeight="false" outlineLevel="0" collapsed="false">
      <c r="B94" s="1" t="str">
        <f aca="false">UPPER(Prowler!C94)</f>
        <v/>
      </c>
      <c r="C94" s="1" t="str">
        <f aca="false">IF(Prowler!AL94&lt;&gt;"",Prowler!AL94, _xlfn.CONCAT("arn:aws:ec2:",F94,":",Prowler!AD94,":instance/",Prowler!AK94))</f>
        <v>arn:aws:ec2:::instance/</v>
      </c>
      <c r="F94" s="1" t="n">
        <f aca="false">Prowler!AJ94</f>
        <v>0</v>
      </c>
      <c r="G94" s="1" t="n">
        <f aca="false">Prowler!E94</f>
        <v>0</v>
      </c>
      <c r="H94" s="4" t="str">
        <f aca="false">_xlfn.TEXTJOIN(CHAR(10),1, Prowler!O94:Q94)</f>
        <v/>
      </c>
      <c r="I94" s="4" t="str">
        <f aca="false">_xlfn.TEXTJOIN(CHAR(10),1, Prowler!R94:W94)</f>
        <v/>
      </c>
      <c r="J94" s="1" t="n">
        <f aca="false">IF(Prowler!K94="critical",10, IF(Prowler!K94="high",7, IF(Prowler!K94="medium",5, 1)))</f>
        <v>1</v>
      </c>
      <c r="M94" s="3" t="n">
        <f aca="false">Prowler!A94</f>
        <v>0</v>
      </c>
      <c r="O94" s="4" t="str">
        <f aca="false">IF(Prowler!N94="", "", _xlfn.CONCAT("[{""key"":""",SUBSTITUTE(SUBSTITUTE(Prowler!N94,"=",""",""value"":""")," | ","""},{""key"":"""),"""}]"))</f>
        <v/>
      </c>
    </row>
    <row r="95" customFormat="false" ht="90.7" hidden="false" customHeight="false" outlineLevel="0" collapsed="false">
      <c r="B95" s="1" t="str">
        <f aca="false">UPPER(Prowler!C95)</f>
        <v/>
      </c>
      <c r="C95" s="1" t="str">
        <f aca="false">IF(Prowler!AL95&lt;&gt;"",Prowler!AL95, _xlfn.CONCAT("arn:aws:ec2:",F95,":",Prowler!AD95,":instance/",Prowler!AK95))</f>
        <v>arn:aws:ec2:::instance/</v>
      </c>
      <c r="F95" s="1" t="n">
        <f aca="false">Prowler!AJ95</f>
        <v>0</v>
      </c>
      <c r="G95" s="1" t="n">
        <f aca="false">Prowler!E95</f>
        <v>0</v>
      </c>
      <c r="H95" s="4" t="str">
        <f aca="false">_xlfn.TEXTJOIN(CHAR(10),1, Prowler!O95:Q95)</f>
        <v/>
      </c>
      <c r="I95" s="4" t="str">
        <f aca="false">_xlfn.TEXTJOIN(CHAR(10),1, Prowler!R95:W95)</f>
        <v/>
      </c>
      <c r="J95" s="1" t="n">
        <f aca="false">IF(Prowler!K95="critical",10, IF(Prowler!K95="high",7, IF(Prowler!K95="medium",5, 1)))</f>
        <v>1</v>
      </c>
      <c r="M95" s="3" t="n">
        <f aca="false">Prowler!A95</f>
        <v>0</v>
      </c>
      <c r="O95" s="4" t="str">
        <f aca="false">IF(Prowler!N95="", "", _xlfn.CONCAT("[{""key"":""",SUBSTITUTE(SUBSTITUTE(Prowler!N95,"=",""",""value"":""")," | ","""},{""key"":"""),"""}]"))</f>
        <v/>
      </c>
    </row>
    <row r="96" customFormat="false" ht="90.7" hidden="false" customHeight="false" outlineLevel="0" collapsed="false">
      <c r="B96" s="1" t="str">
        <f aca="false">UPPER(Prowler!C96)</f>
        <v/>
      </c>
      <c r="C96" s="1" t="str">
        <f aca="false">IF(Prowler!AL96&lt;&gt;"",Prowler!AL96, _xlfn.CONCAT("arn:aws:ec2:",F96,":",Prowler!AD96,":instance/",Prowler!AK96))</f>
        <v>arn:aws:ec2:::instance/</v>
      </c>
      <c r="F96" s="1" t="n">
        <f aca="false">Prowler!AJ96</f>
        <v>0</v>
      </c>
      <c r="G96" s="1" t="n">
        <f aca="false">Prowler!E96</f>
        <v>0</v>
      </c>
      <c r="H96" s="4" t="str">
        <f aca="false">_xlfn.TEXTJOIN(CHAR(10),1, Prowler!O96:Q96)</f>
        <v/>
      </c>
      <c r="I96" s="4" t="str">
        <f aca="false">_xlfn.TEXTJOIN(CHAR(10),1, Prowler!R96:W96)</f>
        <v/>
      </c>
      <c r="J96" s="1" t="n">
        <f aca="false">IF(Prowler!K96="critical",10, IF(Prowler!K96="high",7, IF(Prowler!K96="medium",5, 1)))</f>
        <v>1</v>
      </c>
      <c r="M96" s="3" t="n">
        <f aca="false">Prowler!A96</f>
        <v>0</v>
      </c>
      <c r="O96" s="4" t="str">
        <f aca="false">IF(Prowler!N96="", "", _xlfn.CONCAT("[{""key"":""",SUBSTITUTE(SUBSTITUTE(Prowler!N96,"=",""",""value"":""")," | ","""},{""key"":"""),"""}]"))</f>
        <v/>
      </c>
    </row>
    <row r="97" customFormat="false" ht="90.7" hidden="false" customHeight="false" outlineLevel="0" collapsed="false">
      <c r="B97" s="1" t="str">
        <f aca="false">UPPER(Prowler!C97)</f>
        <v/>
      </c>
      <c r="C97" s="1" t="str">
        <f aca="false">IF(Prowler!AL97&lt;&gt;"",Prowler!AL97, _xlfn.CONCAT("arn:aws:ec2:",F97,":",Prowler!AD97,":instance/",Prowler!AK97))</f>
        <v>arn:aws:ec2:::instance/</v>
      </c>
      <c r="F97" s="1" t="n">
        <f aca="false">Prowler!AJ97</f>
        <v>0</v>
      </c>
      <c r="G97" s="1" t="n">
        <f aca="false">Prowler!E97</f>
        <v>0</v>
      </c>
      <c r="H97" s="4" t="str">
        <f aca="false">_xlfn.TEXTJOIN(CHAR(10),1, Prowler!O97:Q97)</f>
        <v/>
      </c>
      <c r="I97" s="4" t="str">
        <f aca="false">_xlfn.TEXTJOIN(CHAR(10),1, Prowler!R97:W97)</f>
        <v/>
      </c>
      <c r="J97" s="1" t="n">
        <f aca="false">IF(Prowler!K97="critical",10, IF(Prowler!K97="high",7, IF(Prowler!K97="medium",5, 1)))</f>
        <v>1</v>
      </c>
      <c r="M97" s="3" t="n">
        <f aca="false">Prowler!A97</f>
        <v>0</v>
      </c>
      <c r="O97" s="4" t="str">
        <f aca="false">IF(Prowler!N97="", "", _xlfn.CONCAT("[{""key"":""",SUBSTITUTE(SUBSTITUTE(Prowler!N97,"=",""",""value"":""")," | ","""},{""key"":"""),"""}]"))</f>
        <v/>
      </c>
    </row>
    <row r="98" customFormat="false" ht="90.7" hidden="false" customHeight="false" outlineLevel="0" collapsed="false">
      <c r="B98" s="1" t="str">
        <f aca="false">UPPER(Prowler!C98)</f>
        <v/>
      </c>
      <c r="C98" s="1" t="str">
        <f aca="false">IF(Prowler!AL98&lt;&gt;"",Prowler!AL98, _xlfn.CONCAT("arn:aws:ec2:",F98,":",Prowler!AD98,":instance/",Prowler!AK98))</f>
        <v>arn:aws:ec2:::instance/</v>
      </c>
      <c r="F98" s="1" t="n">
        <f aca="false">Prowler!AJ98</f>
        <v>0</v>
      </c>
      <c r="G98" s="1" t="n">
        <f aca="false">Prowler!E98</f>
        <v>0</v>
      </c>
      <c r="H98" s="4" t="str">
        <f aca="false">_xlfn.TEXTJOIN(CHAR(10),1, Prowler!O98:Q98)</f>
        <v/>
      </c>
      <c r="I98" s="4" t="str">
        <f aca="false">_xlfn.TEXTJOIN(CHAR(10),1, Prowler!R98:W98)</f>
        <v/>
      </c>
      <c r="J98" s="1" t="n">
        <f aca="false">IF(Prowler!K98="critical",10, IF(Prowler!K98="high",7, IF(Prowler!K98="medium",5, 1)))</f>
        <v>1</v>
      </c>
      <c r="M98" s="3" t="n">
        <f aca="false">Prowler!A98</f>
        <v>0</v>
      </c>
      <c r="O98" s="4" t="str">
        <f aca="false">IF(Prowler!N98="", "", _xlfn.CONCAT("[{""key"":""",SUBSTITUTE(SUBSTITUTE(Prowler!N98,"=",""",""value"":""")," | ","""},{""key"":"""),"""}]"))</f>
        <v/>
      </c>
    </row>
    <row r="99" customFormat="false" ht="101.95" hidden="false" customHeight="false" outlineLevel="0" collapsed="false">
      <c r="B99" s="1" t="str">
        <f aca="false">UPPER(Prowler!C99)</f>
        <v/>
      </c>
      <c r="C99" s="1" t="str">
        <f aca="false">IF(Prowler!AL99&lt;&gt;"",Prowler!AL99, _xlfn.CONCAT("arn:aws:ec2:",F99,":",Prowler!AD99,":instance/",Prowler!AK99))</f>
        <v>arn:aws:ec2:::instance/</v>
      </c>
      <c r="F99" s="1" t="n">
        <f aca="false">Prowler!AJ99</f>
        <v>0</v>
      </c>
      <c r="G99" s="1" t="n">
        <f aca="false">Prowler!E99</f>
        <v>0</v>
      </c>
      <c r="H99" s="4" t="str">
        <f aca="false">_xlfn.TEXTJOIN(CHAR(10),1, Prowler!O99:Q99)</f>
        <v/>
      </c>
      <c r="I99" s="4" t="str">
        <f aca="false">_xlfn.TEXTJOIN(CHAR(10),1, Prowler!R99:W99)</f>
        <v/>
      </c>
      <c r="J99" s="1" t="n">
        <f aca="false">IF(Prowler!K99="critical",10, IF(Prowler!K99="high",7, IF(Prowler!K99="medium",5, 1)))</f>
        <v>1</v>
      </c>
      <c r="M99" s="3" t="n">
        <f aca="false">Prowler!A99</f>
        <v>0</v>
      </c>
      <c r="O99" s="4" t="str">
        <f aca="false">IF(Prowler!N99="", "", _xlfn.CONCAT("[{""key"":""",SUBSTITUTE(SUBSTITUTE(Prowler!N99,"=",""",""value"":""")," | ","""},{""key"":"""),"""}]"))</f>
        <v/>
      </c>
    </row>
    <row r="100" customFormat="false" ht="101.95" hidden="false" customHeight="false" outlineLevel="0" collapsed="false">
      <c r="B100" s="1" t="str">
        <f aca="false">UPPER(Prowler!C100)</f>
        <v/>
      </c>
      <c r="C100" s="1" t="str">
        <f aca="false">IF(Prowler!AL100&lt;&gt;"",Prowler!AL100, _xlfn.CONCAT("arn:aws:ec2:",F100,":",Prowler!AD100,":instance/",Prowler!AK100))</f>
        <v>arn:aws:ec2:::instance/</v>
      </c>
      <c r="F100" s="1" t="n">
        <f aca="false">Prowler!AJ100</f>
        <v>0</v>
      </c>
      <c r="G100" s="1" t="n">
        <f aca="false">Prowler!E100</f>
        <v>0</v>
      </c>
      <c r="H100" s="4" t="str">
        <f aca="false">_xlfn.TEXTJOIN(CHAR(10),1, Prowler!O100:Q100)</f>
        <v/>
      </c>
      <c r="I100" s="4" t="str">
        <f aca="false">_xlfn.TEXTJOIN(CHAR(10),1, Prowler!R100:W100)</f>
        <v/>
      </c>
      <c r="J100" s="1" t="n">
        <f aca="false">IF(Prowler!K100="critical",10, IF(Prowler!K100="high",7, IF(Prowler!K100="medium",5, 1)))</f>
        <v>1</v>
      </c>
      <c r="M100" s="3" t="n">
        <f aca="false">Prowler!A100</f>
        <v>0</v>
      </c>
      <c r="O100" s="4" t="str">
        <f aca="false">IF(Prowler!N100="", "", _xlfn.CONCAT("[{""key"":""",SUBSTITUTE(SUBSTITUTE(Prowler!N100,"=",""",""value"":""")," | ","""},{""key"":"""),"""}]"))</f>
        <v/>
      </c>
    </row>
    <row r="101" customFormat="false" ht="101.95" hidden="false" customHeight="false" outlineLevel="0" collapsed="false">
      <c r="B101" s="1" t="str">
        <f aca="false">UPPER(Prowler!C101)</f>
        <v/>
      </c>
      <c r="C101" s="1" t="str">
        <f aca="false">IF(Prowler!AL101&lt;&gt;"",Prowler!AL101, _xlfn.CONCAT("arn:aws:ec2:",F101,":",Prowler!AD101,":instance/",Prowler!AK101))</f>
        <v>arn:aws:ec2:::instance/</v>
      </c>
      <c r="F101" s="1" t="n">
        <f aca="false">Prowler!AJ101</f>
        <v>0</v>
      </c>
      <c r="G101" s="1" t="n">
        <f aca="false">Prowler!E101</f>
        <v>0</v>
      </c>
      <c r="H101" s="4" t="str">
        <f aca="false">_xlfn.TEXTJOIN(CHAR(10),1, Prowler!O101:Q101)</f>
        <v/>
      </c>
      <c r="I101" s="4" t="str">
        <f aca="false">_xlfn.TEXTJOIN(CHAR(10),1, Prowler!R101:W101)</f>
        <v/>
      </c>
      <c r="J101" s="1" t="n">
        <f aca="false">IF(Prowler!K101="critical",10, IF(Prowler!K101="high",7, IF(Prowler!K101="medium",5, 1)))</f>
        <v>1</v>
      </c>
      <c r="M101" s="3" t="n">
        <f aca="false">Prowler!A101</f>
        <v>0</v>
      </c>
      <c r="O101" s="4" t="str">
        <f aca="false">IF(Prowler!N101="", "", _xlfn.CONCAT("[{""key"":""",SUBSTITUTE(SUBSTITUTE(Prowler!N101,"=",""",""value"":""")," | ","""},{""key"":"""),"""}]"))</f>
        <v/>
      </c>
    </row>
    <row r="102" customFormat="false" ht="101.95" hidden="false" customHeight="false" outlineLevel="0" collapsed="false">
      <c r="B102" s="1" t="str">
        <f aca="false">UPPER(Prowler!C102)</f>
        <v/>
      </c>
      <c r="C102" s="1" t="str">
        <f aca="false">IF(Prowler!AL102&lt;&gt;"",Prowler!AL102, _xlfn.CONCAT("arn:aws:ec2:",F102,":",Prowler!AD102,":instance/",Prowler!AK102))</f>
        <v>arn:aws:ec2:::instance/</v>
      </c>
      <c r="F102" s="1" t="n">
        <f aca="false">Prowler!AJ102</f>
        <v>0</v>
      </c>
      <c r="G102" s="1" t="n">
        <f aca="false">Prowler!E102</f>
        <v>0</v>
      </c>
      <c r="H102" s="4" t="str">
        <f aca="false">_xlfn.TEXTJOIN(CHAR(10),1, Prowler!O102:Q102)</f>
        <v/>
      </c>
      <c r="I102" s="4" t="str">
        <f aca="false">_xlfn.TEXTJOIN(CHAR(10),1, Prowler!R102:W102)</f>
        <v/>
      </c>
      <c r="J102" s="1" t="n">
        <f aca="false">IF(Prowler!K102="critical",10, IF(Prowler!K102="high",7, IF(Prowler!K102="medium",5, 1)))</f>
        <v>1</v>
      </c>
      <c r="M102" s="3" t="n">
        <f aca="false">Prowler!A102</f>
        <v>0</v>
      </c>
      <c r="O102" s="4" t="str">
        <f aca="false">IF(Prowler!N102="", "", _xlfn.CONCAT("[{""key"":""",SUBSTITUTE(SUBSTITUTE(Prowler!N102,"=",""",""value"":""")," | ","""},{""key"":"""),"""}]"))</f>
        <v/>
      </c>
    </row>
    <row r="103" customFormat="false" ht="101.95" hidden="false" customHeight="false" outlineLevel="0" collapsed="false">
      <c r="B103" s="1" t="str">
        <f aca="false">UPPER(Prowler!C103)</f>
        <v/>
      </c>
      <c r="C103" s="1" t="str">
        <f aca="false">IF(Prowler!AL103&lt;&gt;"",Prowler!AL103, _xlfn.CONCAT("arn:aws:ec2:",F103,":",Prowler!AD103,":instance/",Prowler!AK103))</f>
        <v>arn:aws:ec2:::instance/</v>
      </c>
      <c r="F103" s="1" t="n">
        <f aca="false">Prowler!AJ103</f>
        <v>0</v>
      </c>
      <c r="G103" s="1" t="n">
        <f aca="false">Prowler!E103</f>
        <v>0</v>
      </c>
      <c r="H103" s="4" t="str">
        <f aca="false">_xlfn.TEXTJOIN(CHAR(10),1, Prowler!O103:Q103)</f>
        <v/>
      </c>
      <c r="I103" s="4" t="str">
        <f aca="false">_xlfn.TEXTJOIN(CHAR(10),1, Prowler!R103:W103)</f>
        <v/>
      </c>
      <c r="J103" s="1" t="n">
        <f aca="false">IF(Prowler!K103="critical",10, IF(Prowler!K103="high",7, IF(Prowler!K103="medium",5, 1)))</f>
        <v>1</v>
      </c>
      <c r="M103" s="3" t="n">
        <f aca="false">Prowler!A103</f>
        <v>0</v>
      </c>
      <c r="O103" s="4" t="str">
        <f aca="false">IF(Prowler!N103="", "", _xlfn.CONCAT("[{""key"":""",SUBSTITUTE(SUBSTITUTE(Prowler!N103,"=",""",""value"":""")," | ","""},{""key"":"""),"""}]"))</f>
        <v/>
      </c>
    </row>
    <row r="104" customFormat="false" ht="101.95" hidden="false" customHeight="false" outlineLevel="0" collapsed="false">
      <c r="B104" s="1" t="str">
        <f aca="false">UPPER(Prowler!C104)</f>
        <v/>
      </c>
      <c r="C104" s="1" t="str">
        <f aca="false">IF(Prowler!AL104&lt;&gt;"",Prowler!AL104, _xlfn.CONCAT("arn:aws:ec2:",F104,":",Prowler!AD104,":instance/",Prowler!AK104))</f>
        <v>arn:aws:ec2:::instance/</v>
      </c>
      <c r="F104" s="1" t="n">
        <f aca="false">Prowler!AJ104</f>
        <v>0</v>
      </c>
      <c r="G104" s="1" t="n">
        <f aca="false">Prowler!E104</f>
        <v>0</v>
      </c>
      <c r="H104" s="4" t="str">
        <f aca="false">_xlfn.TEXTJOIN(CHAR(10),1, Prowler!O104:Q104)</f>
        <v/>
      </c>
      <c r="I104" s="4" t="str">
        <f aca="false">_xlfn.TEXTJOIN(CHAR(10),1, Prowler!R104:W104)</f>
        <v/>
      </c>
      <c r="J104" s="1" t="n">
        <f aca="false">IF(Prowler!K104="critical",10, IF(Prowler!K104="high",7, IF(Prowler!K104="medium",5, 1)))</f>
        <v>1</v>
      </c>
      <c r="M104" s="3" t="n">
        <f aca="false">Prowler!A104</f>
        <v>0</v>
      </c>
      <c r="O104" s="4" t="str">
        <f aca="false">IF(Prowler!N104="", "", _xlfn.CONCAT("[{""key"":""",SUBSTITUTE(SUBSTITUTE(Prowler!N104,"=",""",""value"":""")," | ","""},{""key"":"""),"""}]"))</f>
        <v/>
      </c>
    </row>
    <row r="105" customFormat="false" ht="101.95" hidden="false" customHeight="false" outlineLevel="0" collapsed="false">
      <c r="B105" s="1" t="str">
        <f aca="false">UPPER(Prowler!C105)</f>
        <v/>
      </c>
      <c r="C105" s="1" t="str">
        <f aca="false">IF(Prowler!AL105&lt;&gt;"",Prowler!AL105, _xlfn.CONCAT("arn:aws:ec2:",F105,":",Prowler!AD105,":instance/",Prowler!AK105))</f>
        <v>arn:aws:ec2:::instance/</v>
      </c>
      <c r="F105" s="1" t="n">
        <f aca="false">Prowler!AJ105</f>
        <v>0</v>
      </c>
      <c r="G105" s="1" t="n">
        <f aca="false">Prowler!E105</f>
        <v>0</v>
      </c>
      <c r="H105" s="4" t="str">
        <f aca="false">_xlfn.TEXTJOIN(CHAR(10),1, Prowler!O105:Q105)</f>
        <v/>
      </c>
      <c r="I105" s="4" t="str">
        <f aca="false">_xlfn.TEXTJOIN(CHAR(10),1, Prowler!R105:W105)</f>
        <v/>
      </c>
      <c r="J105" s="1" t="n">
        <f aca="false">IF(Prowler!K105="critical",10, IF(Prowler!K105="high",7, IF(Prowler!K105="medium",5, 1)))</f>
        <v>1</v>
      </c>
      <c r="M105" s="3" t="n">
        <f aca="false">Prowler!A105</f>
        <v>0</v>
      </c>
      <c r="O105" s="4" t="str">
        <f aca="false">IF(Prowler!N105="", "", _xlfn.CONCAT("[{""key"":""",SUBSTITUTE(SUBSTITUTE(Prowler!N105,"=",""",""value"":""")," | ","""},{""key"":"""),"""}]"))</f>
        <v/>
      </c>
    </row>
    <row r="106" customFormat="false" ht="101.95" hidden="false" customHeight="false" outlineLevel="0" collapsed="false">
      <c r="B106" s="1" t="str">
        <f aca="false">UPPER(Prowler!C106)</f>
        <v/>
      </c>
      <c r="C106" s="1" t="str">
        <f aca="false">IF(Prowler!AL106&lt;&gt;"",Prowler!AL106, _xlfn.CONCAT("arn:aws:ec2:",F106,":",Prowler!AD106,":instance/",Prowler!AK106))</f>
        <v>arn:aws:ec2:::instance/</v>
      </c>
      <c r="F106" s="1" t="n">
        <f aca="false">Prowler!AJ106</f>
        <v>0</v>
      </c>
      <c r="G106" s="1" t="n">
        <f aca="false">Prowler!E106</f>
        <v>0</v>
      </c>
      <c r="H106" s="4" t="str">
        <f aca="false">_xlfn.TEXTJOIN(CHAR(10),1, Prowler!O106:Q106)</f>
        <v/>
      </c>
      <c r="I106" s="4" t="str">
        <f aca="false">_xlfn.TEXTJOIN(CHAR(10),1, Prowler!R106:W106)</f>
        <v/>
      </c>
      <c r="J106" s="1" t="n">
        <f aca="false">IF(Prowler!K106="critical",10, IF(Prowler!K106="high",7, IF(Prowler!K106="medium",5, 1)))</f>
        <v>1</v>
      </c>
      <c r="M106" s="3" t="n">
        <f aca="false">Prowler!A106</f>
        <v>0</v>
      </c>
      <c r="O106" s="4" t="str">
        <f aca="false">IF(Prowler!N106="", "", _xlfn.CONCAT("[{""key"":""",SUBSTITUTE(SUBSTITUTE(Prowler!N106,"=",""",""value"":""")," | ","""},{""key"":"""),"""}]"))</f>
        <v/>
      </c>
    </row>
    <row r="107" customFormat="false" ht="101.95" hidden="false" customHeight="false" outlineLevel="0" collapsed="false">
      <c r="B107" s="1" t="str">
        <f aca="false">UPPER(Prowler!C107)</f>
        <v/>
      </c>
      <c r="C107" s="1" t="str">
        <f aca="false">IF(Prowler!AL107&lt;&gt;"",Prowler!AL107, _xlfn.CONCAT("arn:aws:ec2:",F107,":",Prowler!AD107,":instance/",Prowler!AK107))</f>
        <v>arn:aws:ec2:::instance/</v>
      </c>
      <c r="F107" s="1" t="n">
        <f aca="false">Prowler!AJ107</f>
        <v>0</v>
      </c>
      <c r="G107" s="1" t="n">
        <f aca="false">Prowler!E107</f>
        <v>0</v>
      </c>
      <c r="H107" s="4" t="str">
        <f aca="false">_xlfn.TEXTJOIN(CHAR(10),1, Prowler!O107:Q107)</f>
        <v/>
      </c>
      <c r="I107" s="4" t="str">
        <f aca="false">_xlfn.TEXTJOIN(CHAR(10),1, Prowler!R107:W107)</f>
        <v/>
      </c>
      <c r="J107" s="1" t="n">
        <f aca="false">IF(Prowler!K107="critical",10, IF(Prowler!K107="high",7, IF(Prowler!K107="medium",5, 1)))</f>
        <v>1</v>
      </c>
      <c r="M107" s="3" t="n">
        <f aca="false">Prowler!A107</f>
        <v>0</v>
      </c>
      <c r="O107" s="4" t="str">
        <f aca="false">IF(Prowler!N107="", "", _xlfn.CONCAT("[{""key"":""",SUBSTITUTE(SUBSTITUTE(Prowler!N107,"=",""",""value"":""")," | ","""},{""key"":"""),"""}]"))</f>
        <v/>
      </c>
    </row>
    <row r="108" customFormat="false" ht="101.95" hidden="false" customHeight="false" outlineLevel="0" collapsed="false">
      <c r="B108" s="1" t="str">
        <f aca="false">UPPER(Prowler!C108)</f>
        <v/>
      </c>
      <c r="C108" s="1" t="str">
        <f aca="false">IF(Prowler!AL108&lt;&gt;"",Prowler!AL108, _xlfn.CONCAT("arn:aws:ec2:",F108,":",Prowler!AD108,":instance/",Prowler!AK108))</f>
        <v>arn:aws:ec2:::instance/</v>
      </c>
      <c r="F108" s="1" t="n">
        <f aca="false">Prowler!AJ108</f>
        <v>0</v>
      </c>
      <c r="G108" s="1" t="n">
        <f aca="false">Prowler!E108</f>
        <v>0</v>
      </c>
      <c r="H108" s="4" t="str">
        <f aca="false">_xlfn.TEXTJOIN(CHAR(10),1, Prowler!O108:Q108)</f>
        <v/>
      </c>
      <c r="I108" s="4" t="str">
        <f aca="false">_xlfn.TEXTJOIN(CHAR(10),1, Prowler!R108:W108)</f>
        <v/>
      </c>
      <c r="J108" s="1" t="n">
        <f aca="false">IF(Prowler!K108="critical",10, IF(Prowler!K108="high",7, IF(Prowler!K108="medium",5, 1)))</f>
        <v>1</v>
      </c>
      <c r="M108" s="3" t="n">
        <f aca="false">Prowler!A108</f>
        <v>0</v>
      </c>
      <c r="O108" s="4" t="str">
        <f aca="false">IF(Prowler!N108="", "", _xlfn.CONCAT("[{""key"":""",SUBSTITUTE(SUBSTITUTE(Prowler!N108,"=",""",""value"":""")," | ","""},{""key"":"""),"""}]"))</f>
        <v/>
      </c>
    </row>
    <row r="109" customFormat="false" ht="101.95" hidden="false" customHeight="false" outlineLevel="0" collapsed="false">
      <c r="B109" s="1" t="str">
        <f aca="false">UPPER(Prowler!C109)</f>
        <v/>
      </c>
      <c r="C109" s="1" t="str">
        <f aca="false">IF(Prowler!AL109&lt;&gt;"",Prowler!AL109, _xlfn.CONCAT("arn:aws:ec2:",F109,":",Prowler!AD109,":instance/",Prowler!AK109))</f>
        <v>arn:aws:ec2:::instance/</v>
      </c>
      <c r="F109" s="1" t="n">
        <f aca="false">Prowler!AJ109</f>
        <v>0</v>
      </c>
      <c r="G109" s="1" t="n">
        <f aca="false">Prowler!E109</f>
        <v>0</v>
      </c>
      <c r="H109" s="4" t="str">
        <f aca="false">_xlfn.TEXTJOIN(CHAR(10),1, Prowler!O109:Q109)</f>
        <v/>
      </c>
      <c r="I109" s="4" t="str">
        <f aca="false">_xlfn.TEXTJOIN(CHAR(10),1, Prowler!R109:W109)</f>
        <v/>
      </c>
      <c r="J109" s="1" t="n">
        <f aca="false">IF(Prowler!K109="critical",10, IF(Prowler!K109="high",7, IF(Prowler!K109="medium",5, 1)))</f>
        <v>1</v>
      </c>
      <c r="M109" s="3" t="n">
        <f aca="false">Prowler!A109</f>
        <v>0</v>
      </c>
      <c r="O109" s="4" t="str">
        <f aca="false">IF(Prowler!N109="", "", _xlfn.CONCAT("[{""key"":""",SUBSTITUTE(SUBSTITUTE(Prowler!N109,"=",""",""value"":""")," | ","""},{""key"":"""),"""}]"))</f>
        <v/>
      </c>
    </row>
    <row r="110" customFormat="false" ht="101.95" hidden="false" customHeight="false" outlineLevel="0" collapsed="false">
      <c r="B110" s="1" t="str">
        <f aca="false">UPPER(Prowler!C110)</f>
        <v/>
      </c>
      <c r="C110" s="1" t="str">
        <f aca="false">IF(Prowler!AL110&lt;&gt;"",Prowler!AL110, _xlfn.CONCAT("arn:aws:ec2:",F110,":",Prowler!AD110,":instance/",Prowler!AK110))</f>
        <v>arn:aws:ec2:::instance/</v>
      </c>
      <c r="F110" s="1" t="n">
        <f aca="false">Prowler!AJ110</f>
        <v>0</v>
      </c>
      <c r="G110" s="1" t="n">
        <f aca="false">Prowler!E110</f>
        <v>0</v>
      </c>
      <c r="H110" s="4" t="str">
        <f aca="false">_xlfn.TEXTJOIN(CHAR(10),1, Prowler!O110:Q110)</f>
        <v/>
      </c>
      <c r="I110" s="4" t="str">
        <f aca="false">_xlfn.TEXTJOIN(CHAR(10),1, Prowler!R110:W110)</f>
        <v/>
      </c>
      <c r="J110" s="1" t="n">
        <f aca="false">IF(Prowler!K110="critical",10, IF(Prowler!K110="high",7, IF(Prowler!K110="medium",5, 1)))</f>
        <v>1</v>
      </c>
      <c r="M110" s="3" t="n">
        <f aca="false">Prowler!A110</f>
        <v>0</v>
      </c>
      <c r="O110" s="4" t="str">
        <f aca="false">IF(Prowler!N110="", "", _xlfn.CONCAT("[{""key"":""",SUBSTITUTE(SUBSTITUTE(Prowler!N110,"=",""",""value"":""")," | ","""},{""key"":"""),"""}]"))</f>
        <v/>
      </c>
    </row>
    <row r="111" customFormat="false" ht="101.95" hidden="false" customHeight="false" outlineLevel="0" collapsed="false">
      <c r="B111" s="1" t="str">
        <f aca="false">UPPER(Prowler!C111)</f>
        <v/>
      </c>
      <c r="C111" s="1" t="str">
        <f aca="false">IF(Prowler!AL111&lt;&gt;"",Prowler!AL111, _xlfn.CONCAT("arn:aws:ec2:",F111,":",Prowler!AD111,":instance/",Prowler!AK111))</f>
        <v>arn:aws:ec2:::instance/</v>
      </c>
      <c r="F111" s="1" t="n">
        <f aca="false">Prowler!AJ111</f>
        <v>0</v>
      </c>
      <c r="G111" s="1" t="n">
        <f aca="false">Prowler!E111</f>
        <v>0</v>
      </c>
      <c r="H111" s="4" t="str">
        <f aca="false">_xlfn.TEXTJOIN(CHAR(10),1, Prowler!O111:Q111)</f>
        <v/>
      </c>
      <c r="I111" s="4" t="str">
        <f aca="false">_xlfn.TEXTJOIN(CHAR(10),1, Prowler!R111:W111)</f>
        <v/>
      </c>
      <c r="J111" s="1" t="n">
        <f aca="false">IF(Prowler!K111="critical",10, IF(Prowler!K111="high",7, IF(Prowler!K111="medium",5, 1)))</f>
        <v>1</v>
      </c>
      <c r="M111" s="3" t="n">
        <f aca="false">Prowler!A111</f>
        <v>0</v>
      </c>
      <c r="O111" s="4" t="str">
        <f aca="false">IF(Prowler!N111="", "", _xlfn.CONCAT("[{""key"":""",SUBSTITUTE(SUBSTITUTE(Prowler!N111,"=",""",""value"":""")," | ","""},{""key"":"""),"""}]"))</f>
        <v/>
      </c>
    </row>
    <row r="112" customFormat="false" ht="101.95" hidden="false" customHeight="false" outlineLevel="0" collapsed="false">
      <c r="B112" s="1" t="str">
        <f aca="false">UPPER(Prowler!C112)</f>
        <v/>
      </c>
      <c r="C112" s="1" t="str">
        <f aca="false">IF(Prowler!AL112&lt;&gt;"",Prowler!AL112, _xlfn.CONCAT("arn:aws:ec2:",F112,":",Prowler!AD112,":instance/",Prowler!AK112))</f>
        <v>arn:aws:ec2:::instance/</v>
      </c>
      <c r="F112" s="1" t="n">
        <f aca="false">Prowler!AJ112</f>
        <v>0</v>
      </c>
      <c r="G112" s="1" t="n">
        <f aca="false">Prowler!E112</f>
        <v>0</v>
      </c>
      <c r="H112" s="4" t="str">
        <f aca="false">_xlfn.TEXTJOIN(CHAR(10),1, Prowler!O112:Q112)</f>
        <v/>
      </c>
      <c r="I112" s="4" t="str">
        <f aca="false">_xlfn.TEXTJOIN(CHAR(10),1, Prowler!R112:W112)</f>
        <v/>
      </c>
      <c r="J112" s="1" t="n">
        <f aca="false">IF(Prowler!K112="critical",10, IF(Prowler!K112="high",7, IF(Prowler!K112="medium",5, 1)))</f>
        <v>1</v>
      </c>
      <c r="M112" s="3" t="n">
        <f aca="false">Prowler!A112</f>
        <v>0</v>
      </c>
      <c r="O112" s="4" t="str">
        <f aca="false">IF(Prowler!N112="", "", _xlfn.CONCAT("[{""key"":""",SUBSTITUTE(SUBSTITUTE(Prowler!N112,"=",""",""value"":""")," | ","""},{""key"":"""),"""}]"))</f>
        <v/>
      </c>
    </row>
    <row r="113" customFormat="false" ht="101.95" hidden="false" customHeight="false" outlineLevel="0" collapsed="false">
      <c r="B113" s="1" t="str">
        <f aca="false">UPPER(Prowler!C113)</f>
        <v/>
      </c>
      <c r="C113" s="1" t="str">
        <f aca="false">IF(Prowler!AL113&lt;&gt;"",Prowler!AL113, _xlfn.CONCAT("arn:aws:ec2:",F113,":",Prowler!AD113,":instance/",Prowler!AK113))</f>
        <v>arn:aws:ec2:::instance/</v>
      </c>
      <c r="F113" s="1" t="n">
        <f aca="false">Prowler!AJ113</f>
        <v>0</v>
      </c>
      <c r="G113" s="1" t="n">
        <f aca="false">Prowler!E113</f>
        <v>0</v>
      </c>
      <c r="H113" s="4" t="str">
        <f aca="false">_xlfn.TEXTJOIN(CHAR(10),1, Prowler!O113:Q113)</f>
        <v/>
      </c>
      <c r="I113" s="4" t="str">
        <f aca="false">_xlfn.TEXTJOIN(CHAR(10),1, Prowler!R113:W113)</f>
        <v/>
      </c>
      <c r="J113" s="1" t="n">
        <f aca="false">IF(Prowler!K113="critical",10, IF(Prowler!K113="high",7, IF(Prowler!K113="medium",5, 1)))</f>
        <v>1</v>
      </c>
      <c r="M113" s="3" t="n">
        <f aca="false">Prowler!A113</f>
        <v>0</v>
      </c>
      <c r="O113" s="4" t="str">
        <f aca="false">IF(Prowler!N113="", "", _xlfn.CONCAT("[{""key"":""",SUBSTITUTE(SUBSTITUTE(Prowler!N113,"=",""",""value"":""")," | ","""},{""key"":"""),"""}]"))</f>
        <v/>
      </c>
    </row>
    <row r="114" customFormat="false" ht="101.95" hidden="false" customHeight="false" outlineLevel="0" collapsed="false">
      <c r="B114" s="1" t="str">
        <f aca="false">UPPER(Prowler!C114)</f>
        <v/>
      </c>
      <c r="C114" s="1" t="str">
        <f aca="false">IF(Prowler!AL114&lt;&gt;"",Prowler!AL114, _xlfn.CONCAT("arn:aws:ec2:",F114,":",Prowler!AD114,":instance/",Prowler!AK114))</f>
        <v>arn:aws:ec2:::instance/</v>
      </c>
      <c r="F114" s="1" t="n">
        <f aca="false">Prowler!AJ114</f>
        <v>0</v>
      </c>
      <c r="G114" s="1" t="n">
        <f aca="false">Prowler!E114</f>
        <v>0</v>
      </c>
      <c r="H114" s="4" t="str">
        <f aca="false">_xlfn.TEXTJOIN(CHAR(10),1, Prowler!O114:Q114)</f>
        <v/>
      </c>
      <c r="I114" s="4" t="str">
        <f aca="false">_xlfn.TEXTJOIN(CHAR(10),1, Prowler!R114:W114)</f>
        <v/>
      </c>
      <c r="J114" s="1" t="n">
        <f aca="false">IF(Prowler!K114="critical",10, IF(Prowler!K114="high",7, IF(Prowler!K114="medium",5, 1)))</f>
        <v>1</v>
      </c>
      <c r="M114" s="3" t="n">
        <f aca="false">Prowler!A114</f>
        <v>0</v>
      </c>
      <c r="O114" s="4" t="str">
        <f aca="false">IF(Prowler!N114="", "", _xlfn.CONCAT("[{""key"":""",SUBSTITUTE(SUBSTITUTE(Prowler!N114,"=",""",""value"":""")," | ","""},{""key"":"""),"""}]"))</f>
        <v/>
      </c>
    </row>
    <row r="115" customFormat="false" ht="101.95" hidden="false" customHeight="false" outlineLevel="0" collapsed="false">
      <c r="B115" s="1" t="str">
        <f aca="false">UPPER(Prowler!C115)</f>
        <v/>
      </c>
      <c r="C115" s="1" t="str">
        <f aca="false">IF(Prowler!AL115&lt;&gt;"",Prowler!AL115, _xlfn.CONCAT("arn:aws:ec2:",F115,":",Prowler!AD115,":instance/",Prowler!AK115))</f>
        <v>arn:aws:ec2:::instance/</v>
      </c>
      <c r="F115" s="1" t="n">
        <f aca="false">Prowler!AJ115</f>
        <v>0</v>
      </c>
      <c r="G115" s="1" t="n">
        <f aca="false">Prowler!E115</f>
        <v>0</v>
      </c>
      <c r="H115" s="4" t="str">
        <f aca="false">_xlfn.TEXTJOIN(CHAR(10),1, Prowler!O115:Q115)</f>
        <v/>
      </c>
      <c r="I115" s="4" t="str">
        <f aca="false">_xlfn.TEXTJOIN(CHAR(10),1, Prowler!R115:W115)</f>
        <v/>
      </c>
      <c r="J115" s="1" t="n">
        <f aca="false">IF(Prowler!K115="critical",10, IF(Prowler!K115="high",7, IF(Prowler!K115="medium",5, 1)))</f>
        <v>1</v>
      </c>
      <c r="M115" s="3" t="n">
        <f aca="false">Prowler!A115</f>
        <v>0</v>
      </c>
      <c r="O115" s="4" t="str">
        <f aca="false">IF(Prowler!N115="", "", _xlfn.CONCAT("[{""key"":""",SUBSTITUTE(SUBSTITUTE(Prowler!N115,"=",""",""value"":""")," | ","""},{""key"":"""),"""}]"))</f>
        <v/>
      </c>
    </row>
    <row r="116" customFormat="false" ht="135.45" hidden="false" customHeight="false" outlineLevel="0" collapsed="false">
      <c r="B116" s="1" t="str">
        <f aca="false">UPPER(Prowler!C116)</f>
        <v/>
      </c>
      <c r="C116" s="1" t="str">
        <f aca="false">IF(Prowler!AL116&lt;&gt;"",Prowler!AL116, _xlfn.CONCAT("arn:aws:ec2:",F116,":",Prowler!AD116,":instance/",Prowler!AK116))</f>
        <v>arn:aws:ec2:::instance/</v>
      </c>
      <c r="F116" s="1" t="n">
        <f aca="false">Prowler!AJ116</f>
        <v>0</v>
      </c>
      <c r="G116" s="1" t="n">
        <f aca="false">Prowler!E116</f>
        <v>0</v>
      </c>
      <c r="H116" s="4" t="str">
        <f aca="false">_xlfn.TEXTJOIN(CHAR(10),1, Prowler!O116:Q116)</f>
        <v/>
      </c>
      <c r="I116" s="4" t="str">
        <f aca="false">_xlfn.TEXTJOIN(CHAR(10),1, Prowler!R116:W116)</f>
        <v/>
      </c>
      <c r="J116" s="1" t="n">
        <f aca="false">IF(Prowler!K116="critical",10, IF(Prowler!K116="high",7, IF(Prowler!K116="medium",5, 1)))</f>
        <v>1</v>
      </c>
      <c r="M116" s="3" t="n">
        <f aca="false">Prowler!A116</f>
        <v>0</v>
      </c>
      <c r="O116" s="4" t="str">
        <f aca="false">IF(Prowler!N116="", "", _xlfn.CONCAT("[{""key"":""",SUBSTITUTE(SUBSTITUTE(Prowler!N116,"=",""",""value"":""")," | ","""},{""key"":"""),"""}]"))</f>
        <v/>
      </c>
    </row>
    <row r="117" customFormat="false" ht="135.45" hidden="false" customHeight="false" outlineLevel="0" collapsed="false">
      <c r="B117" s="1" t="str">
        <f aca="false">UPPER(Prowler!C117)</f>
        <v/>
      </c>
      <c r="C117" s="1" t="str">
        <f aca="false">IF(Prowler!AL117&lt;&gt;"",Prowler!AL117, _xlfn.CONCAT("arn:aws:ec2:",F117,":",Prowler!AD117,":instance/",Prowler!AK117))</f>
        <v>arn:aws:ec2:::instance/</v>
      </c>
      <c r="F117" s="1" t="n">
        <f aca="false">Prowler!AJ117</f>
        <v>0</v>
      </c>
      <c r="G117" s="1" t="n">
        <f aca="false">Prowler!E117</f>
        <v>0</v>
      </c>
      <c r="H117" s="4" t="str">
        <f aca="false">_xlfn.TEXTJOIN(CHAR(10),1, Prowler!O117:Q117)</f>
        <v/>
      </c>
      <c r="I117" s="4" t="str">
        <f aca="false">_xlfn.TEXTJOIN(CHAR(10),1, Prowler!R117:W117)</f>
        <v/>
      </c>
      <c r="J117" s="1" t="n">
        <f aca="false">IF(Prowler!K117="critical",10, IF(Prowler!K117="high",7, IF(Prowler!K117="medium",5, 1)))</f>
        <v>1</v>
      </c>
      <c r="M117" s="3" t="n">
        <f aca="false">Prowler!A117</f>
        <v>0</v>
      </c>
      <c r="O117" s="4" t="str">
        <f aca="false">IF(Prowler!N117="", "", _xlfn.CONCAT("[{""key"":""",SUBSTITUTE(SUBSTITUTE(Prowler!N117,"=",""",""value"":""")," | ","""},{""key"":"""),"""}]"))</f>
        <v/>
      </c>
    </row>
    <row r="118" customFormat="false" ht="135.45" hidden="false" customHeight="false" outlineLevel="0" collapsed="false">
      <c r="B118" s="1" t="str">
        <f aca="false">UPPER(Prowler!C118)</f>
        <v/>
      </c>
      <c r="C118" s="1" t="str">
        <f aca="false">IF(Prowler!AL118&lt;&gt;"",Prowler!AL118, _xlfn.CONCAT("arn:aws:ec2:",F118,":",Prowler!AD118,":instance/",Prowler!AK118))</f>
        <v>arn:aws:ec2:::instance/</v>
      </c>
      <c r="F118" s="1" t="n">
        <f aca="false">Prowler!AJ118</f>
        <v>0</v>
      </c>
      <c r="G118" s="1" t="n">
        <f aca="false">Prowler!E118</f>
        <v>0</v>
      </c>
      <c r="H118" s="4" t="str">
        <f aca="false">_xlfn.TEXTJOIN(CHAR(10),1, Prowler!O118:Q118)</f>
        <v/>
      </c>
      <c r="I118" s="4" t="str">
        <f aca="false">_xlfn.TEXTJOIN(CHAR(10),1, Prowler!R118:W118)</f>
        <v/>
      </c>
      <c r="J118" s="1" t="n">
        <f aca="false">IF(Prowler!K118="critical",10, IF(Prowler!K118="high",7, IF(Prowler!K118="medium",5, 1)))</f>
        <v>1</v>
      </c>
      <c r="M118" s="3" t="n">
        <f aca="false">Prowler!A118</f>
        <v>0</v>
      </c>
      <c r="O118" s="4" t="str">
        <f aca="false">IF(Prowler!N118="", "", _xlfn.CONCAT("[{""key"":""",SUBSTITUTE(SUBSTITUTE(Prowler!N118,"=",""",""value"":""")," | ","""},{""key"":"""),"""}]"))</f>
        <v/>
      </c>
    </row>
    <row r="119" customFormat="false" ht="135.45" hidden="false" customHeight="false" outlineLevel="0" collapsed="false">
      <c r="B119" s="1" t="str">
        <f aca="false">UPPER(Prowler!C119)</f>
        <v/>
      </c>
      <c r="C119" s="1" t="str">
        <f aca="false">IF(Prowler!AL119&lt;&gt;"",Prowler!AL119, _xlfn.CONCAT("arn:aws:ec2:",F119,":",Prowler!AD119,":instance/",Prowler!AK119))</f>
        <v>arn:aws:ec2:::instance/</v>
      </c>
      <c r="F119" s="1" t="n">
        <f aca="false">Prowler!AJ119</f>
        <v>0</v>
      </c>
      <c r="G119" s="1" t="n">
        <f aca="false">Prowler!E119</f>
        <v>0</v>
      </c>
      <c r="H119" s="4" t="str">
        <f aca="false">_xlfn.TEXTJOIN(CHAR(10),1, Prowler!O119:Q119)</f>
        <v/>
      </c>
      <c r="I119" s="4" t="str">
        <f aca="false">_xlfn.TEXTJOIN(CHAR(10),1, Prowler!R119:W119)</f>
        <v/>
      </c>
      <c r="J119" s="1" t="n">
        <f aca="false">IF(Prowler!K119="critical",10, IF(Prowler!K119="high",7, IF(Prowler!K119="medium",5, 1)))</f>
        <v>1</v>
      </c>
      <c r="M119" s="3" t="n">
        <f aca="false">Prowler!A119</f>
        <v>0</v>
      </c>
      <c r="O119" s="4" t="str">
        <f aca="false">IF(Prowler!N119="", "", _xlfn.CONCAT("[{""key"":""",SUBSTITUTE(SUBSTITUTE(Prowler!N119,"=",""",""value"":""")," | ","""},{""key"":"""),"""}]"))</f>
        <v/>
      </c>
    </row>
    <row r="120" customFormat="false" ht="135.45" hidden="false" customHeight="false" outlineLevel="0" collapsed="false">
      <c r="B120" s="1" t="str">
        <f aca="false">UPPER(Prowler!C120)</f>
        <v/>
      </c>
      <c r="C120" s="1" t="str">
        <f aca="false">IF(Prowler!AL120&lt;&gt;"",Prowler!AL120, _xlfn.CONCAT("arn:aws:ec2:",F120,":",Prowler!AD120,":instance/",Prowler!AK120))</f>
        <v>arn:aws:ec2:::instance/</v>
      </c>
      <c r="F120" s="1" t="n">
        <f aca="false">Prowler!AJ120</f>
        <v>0</v>
      </c>
      <c r="G120" s="1" t="n">
        <f aca="false">Prowler!E120</f>
        <v>0</v>
      </c>
      <c r="H120" s="4" t="str">
        <f aca="false">_xlfn.TEXTJOIN(CHAR(10),1, Prowler!O120:Q120)</f>
        <v/>
      </c>
      <c r="I120" s="4" t="str">
        <f aca="false">_xlfn.TEXTJOIN(CHAR(10),1, Prowler!R120:W120)</f>
        <v/>
      </c>
      <c r="J120" s="1" t="n">
        <f aca="false">IF(Prowler!K120="critical",10, IF(Prowler!K120="high",7, IF(Prowler!K120="medium",5, 1)))</f>
        <v>1</v>
      </c>
      <c r="M120" s="3" t="n">
        <f aca="false">Prowler!A120</f>
        <v>0</v>
      </c>
      <c r="O120" s="4" t="str">
        <f aca="false">IF(Prowler!N120="", "", _xlfn.CONCAT("[{""key"":""",SUBSTITUTE(SUBSTITUTE(Prowler!N120,"=",""",""value"":""")," | ","""},{""key"":"""),"""}]"))</f>
        <v/>
      </c>
    </row>
    <row r="121" customFormat="false" ht="135.45" hidden="false" customHeight="false" outlineLevel="0" collapsed="false">
      <c r="B121" s="1" t="str">
        <f aca="false">UPPER(Prowler!C121)</f>
        <v/>
      </c>
      <c r="C121" s="1" t="str">
        <f aca="false">IF(Prowler!AL121&lt;&gt;"",Prowler!AL121, _xlfn.CONCAT("arn:aws:ec2:",F121,":",Prowler!AD121,":instance/",Prowler!AK121))</f>
        <v>arn:aws:ec2:::instance/</v>
      </c>
      <c r="F121" s="1" t="n">
        <f aca="false">Prowler!AJ121</f>
        <v>0</v>
      </c>
      <c r="G121" s="1" t="n">
        <f aca="false">Prowler!E121</f>
        <v>0</v>
      </c>
      <c r="H121" s="4" t="str">
        <f aca="false">_xlfn.TEXTJOIN(CHAR(10),1, Prowler!O121:Q121)</f>
        <v/>
      </c>
      <c r="I121" s="4" t="str">
        <f aca="false">_xlfn.TEXTJOIN(CHAR(10),1, Prowler!R121:W121)</f>
        <v/>
      </c>
      <c r="J121" s="1" t="n">
        <f aca="false">IF(Prowler!K121="critical",10, IF(Prowler!K121="high",7, IF(Prowler!K121="medium",5, 1)))</f>
        <v>1</v>
      </c>
      <c r="M121" s="3" t="n">
        <f aca="false">Prowler!A121</f>
        <v>0</v>
      </c>
      <c r="O121" s="4" t="str">
        <f aca="false">IF(Prowler!N121="", "", _xlfn.CONCAT("[{""key"":""",SUBSTITUTE(SUBSTITUTE(Prowler!N121,"=",""",""value"":""")," | ","""},{""key"":"""),"""}]"))</f>
        <v/>
      </c>
    </row>
    <row r="122" customFormat="false" ht="135.45" hidden="false" customHeight="false" outlineLevel="0" collapsed="false">
      <c r="B122" s="1" t="str">
        <f aca="false">UPPER(Prowler!C122)</f>
        <v/>
      </c>
      <c r="C122" s="1" t="str">
        <f aca="false">IF(Prowler!AL122&lt;&gt;"",Prowler!AL122, _xlfn.CONCAT("arn:aws:ec2:",F122,":",Prowler!AD122,":instance/",Prowler!AK122))</f>
        <v>arn:aws:ec2:::instance/</v>
      </c>
      <c r="F122" s="1" t="n">
        <f aca="false">Prowler!AJ122</f>
        <v>0</v>
      </c>
      <c r="G122" s="1" t="n">
        <f aca="false">Prowler!E122</f>
        <v>0</v>
      </c>
      <c r="H122" s="4" t="str">
        <f aca="false">_xlfn.TEXTJOIN(CHAR(10),1, Prowler!O122:Q122)</f>
        <v/>
      </c>
      <c r="I122" s="4" t="str">
        <f aca="false">_xlfn.TEXTJOIN(CHAR(10),1, Prowler!R122:W122)</f>
        <v/>
      </c>
      <c r="J122" s="1" t="n">
        <f aca="false">IF(Prowler!K122="critical",10, IF(Prowler!K122="high",7, IF(Prowler!K122="medium",5, 1)))</f>
        <v>1</v>
      </c>
      <c r="M122" s="3" t="n">
        <f aca="false">Prowler!A122</f>
        <v>0</v>
      </c>
      <c r="O122" s="4" t="str">
        <f aca="false">IF(Prowler!N122="", "", _xlfn.CONCAT("[{""key"":""",SUBSTITUTE(SUBSTITUTE(Prowler!N122,"=",""",""value"":""")," | ","""},{""key"":"""),"""}]"))</f>
        <v/>
      </c>
    </row>
    <row r="123" customFormat="false" ht="135.45" hidden="false" customHeight="false" outlineLevel="0" collapsed="false">
      <c r="B123" s="1" t="str">
        <f aca="false">UPPER(Prowler!C123)</f>
        <v/>
      </c>
      <c r="C123" s="1" t="str">
        <f aca="false">IF(Prowler!AL123&lt;&gt;"",Prowler!AL123, _xlfn.CONCAT("arn:aws:ec2:",F123,":",Prowler!AD123,":instance/",Prowler!AK123))</f>
        <v>arn:aws:ec2:::instance/</v>
      </c>
      <c r="F123" s="1" t="n">
        <f aca="false">Prowler!AJ123</f>
        <v>0</v>
      </c>
      <c r="G123" s="1" t="n">
        <f aca="false">Prowler!E123</f>
        <v>0</v>
      </c>
      <c r="H123" s="4" t="str">
        <f aca="false">_xlfn.TEXTJOIN(CHAR(10),1, Prowler!O123:Q123)</f>
        <v/>
      </c>
      <c r="I123" s="4" t="str">
        <f aca="false">_xlfn.TEXTJOIN(CHAR(10),1, Prowler!R123:W123)</f>
        <v/>
      </c>
      <c r="J123" s="1" t="n">
        <f aca="false">IF(Prowler!K123="critical",10, IF(Prowler!K123="high",7, IF(Prowler!K123="medium",5, 1)))</f>
        <v>1</v>
      </c>
      <c r="M123" s="3" t="n">
        <f aca="false">Prowler!A123</f>
        <v>0</v>
      </c>
      <c r="O123" s="4" t="str">
        <f aca="false">IF(Prowler!N123="", "", _xlfn.CONCAT("[{""key"":""",SUBSTITUTE(SUBSTITUTE(Prowler!N123,"=",""",""value"":""")," | ","""},{""key"":"""),"""}]"))</f>
        <v/>
      </c>
    </row>
    <row r="124" customFormat="false" ht="135.45" hidden="false" customHeight="false" outlineLevel="0" collapsed="false">
      <c r="B124" s="1" t="str">
        <f aca="false">UPPER(Prowler!C124)</f>
        <v/>
      </c>
      <c r="C124" s="1" t="str">
        <f aca="false">IF(Prowler!AL124&lt;&gt;"",Prowler!AL124, _xlfn.CONCAT("arn:aws:ec2:",F124,":",Prowler!AD124,":instance/",Prowler!AK124))</f>
        <v>arn:aws:ec2:::instance/</v>
      </c>
      <c r="F124" s="1" t="n">
        <f aca="false">Prowler!AJ124</f>
        <v>0</v>
      </c>
      <c r="G124" s="1" t="n">
        <f aca="false">Prowler!E124</f>
        <v>0</v>
      </c>
      <c r="H124" s="4" t="str">
        <f aca="false">_xlfn.TEXTJOIN(CHAR(10),1, Prowler!O124:Q124)</f>
        <v/>
      </c>
      <c r="I124" s="4" t="str">
        <f aca="false">_xlfn.TEXTJOIN(CHAR(10),1, Prowler!R124:W124)</f>
        <v/>
      </c>
      <c r="J124" s="1" t="n">
        <f aca="false">IF(Prowler!K124="critical",10, IF(Prowler!K124="high",7, IF(Prowler!K124="medium",5, 1)))</f>
        <v>1</v>
      </c>
      <c r="M124" s="3" t="n">
        <f aca="false">Prowler!A124</f>
        <v>0</v>
      </c>
      <c r="O124" s="4" t="str">
        <f aca="false">IF(Prowler!N124="", "", _xlfn.CONCAT("[{""key"":""",SUBSTITUTE(SUBSTITUTE(Prowler!N124,"=",""",""value"":""")," | ","""},{""key"":"""),"""}]"))</f>
        <v/>
      </c>
    </row>
    <row r="125" customFormat="false" ht="135.45" hidden="false" customHeight="false" outlineLevel="0" collapsed="false">
      <c r="B125" s="1" t="str">
        <f aca="false">UPPER(Prowler!C125)</f>
        <v/>
      </c>
      <c r="C125" s="1" t="str">
        <f aca="false">IF(Prowler!AL125&lt;&gt;"",Prowler!AL125, _xlfn.CONCAT("arn:aws:ec2:",F125,":",Prowler!AD125,":instance/",Prowler!AK125))</f>
        <v>arn:aws:ec2:::instance/</v>
      </c>
      <c r="F125" s="1" t="n">
        <f aca="false">Prowler!AJ125</f>
        <v>0</v>
      </c>
      <c r="G125" s="1" t="n">
        <f aca="false">Prowler!E125</f>
        <v>0</v>
      </c>
      <c r="H125" s="4" t="str">
        <f aca="false">_xlfn.TEXTJOIN(CHAR(10),1, Prowler!O125:Q125)</f>
        <v/>
      </c>
      <c r="I125" s="4" t="str">
        <f aca="false">_xlfn.TEXTJOIN(CHAR(10),1, Prowler!R125:W125)</f>
        <v/>
      </c>
      <c r="J125" s="1" t="n">
        <f aca="false">IF(Prowler!K125="critical",10, IF(Prowler!K125="high",7, IF(Prowler!K125="medium",5, 1)))</f>
        <v>1</v>
      </c>
      <c r="M125" s="3" t="n">
        <f aca="false">Prowler!A125</f>
        <v>0</v>
      </c>
      <c r="O125" s="4" t="str">
        <f aca="false">IF(Prowler!N125="", "", _xlfn.CONCAT("[{""key"":""",SUBSTITUTE(SUBSTITUTE(Prowler!N125,"=",""",""value"":""")," | ","""},{""key"":"""),"""}]"))</f>
        <v/>
      </c>
    </row>
    <row r="126" customFormat="false" ht="135.45" hidden="false" customHeight="false" outlineLevel="0" collapsed="false">
      <c r="B126" s="1" t="str">
        <f aca="false">UPPER(Prowler!C126)</f>
        <v/>
      </c>
      <c r="C126" s="1" t="str">
        <f aca="false">IF(Prowler!AL126&lt;&gt;"",Prowler!AL126, _xlfn.CONCAT("arn:aws:ec2:",F126,":",Prowler!AD126,":instance/",Prowler!AK126))</f>
        <v>arn:aws:ec2:::instance/</v>
      </c>
      <c r="F126" s="1" t="n">
        <f aca="false">Prowler!AJ126</f>
        <v>0</v>
      </c>
      <c r="G126" s="1" t="n">
        <f aca="false">Prowler!E126</f>
        <v>0</v>
      </c>
      <c r="H126" s="4" t="str">
        <f aca="false">_xlfn.TEXTJOIN(CHAR(10),1, Prowler!O126:Q126)</f>
        <v/>
      </c>
      <c r="I126" s="4" t="str">
        <f aca="false">_xlfn.TEXTJOIN(CHAR(10),1, Prowler!R126:W126)</f>
        <v/>
      </c>
      <c r="J126" s="1" t="n">
        <f aca="false">IF(Prowler!K126="critical",10, IF(Prowler!K126="high",7, IF(Prowler!K126="medium",5, 1)))</f>
        <v>1</v>
      </c>
      <c r="M126" s="3" t="n">
        <f aca="false">Prowler!A126</f>
        <v>0</v>
      </c>
      <c r="O126" s="4" t="str">
        <f aca="false">IF(Prowler!N126="", "", _xlfn.CONCAT("[{""key"":""",SUBSTITUTE(SUBSTITUTE(Prowler!N126,"=",""",""value"":""")," | ","""},{""key"":"""),"""}]"))</f>
        <v/>
      </c>
    </row>
    <row r="127" customFormat="false" ht="135.45" hidden="false" customHeight="false" outlineLevel="0" collapsed="false">
      <c r="B127" s="1" t="str">
        <f aca="false">UPPER(Prowler!C127)</f>
        <v/>
      </c>
      <c r="C127" s="1" t="str">
        <f aca="false">IF(Prowler!AL127&lt;&gt;"",Prowler!AL127, _xlfn.CONCAT("arn:aws:ec2:",F127,":",Prowler!AD127,":instance/",Prowler!AK127))</f>
        <v>arn:aws:ec2:::instance/</v>
      </c>
      <c r="F127" s="1" t="n">
        <f aca="false">Prowler!AJ127</f>
        <v>0</v>
      </c>
      <c r="G127" s="1" t="n">
        <f aca="false">Prowler!E127</f>
        <v>0</v>
      </c>
      <c r="H127" s="4" t="str">
        <f aca="false">_xlfn.TEXTJOIN(CHAR(10),1, Prowler!O127:Q127)</f>
        <v/>
      </c>
      <c r="I127" s="4" t="str">
        <f aca="false">_xlfn.TEXTJOIN(CHAR(10),1, Prowler!R127:W127)</f>
        <v/>
      </c>
      <c r="J127" s="1" t="n">
        <f aca="false">IF(Prowler!K127="critical",10, IF(Prowler!K127="high",7, IF(Prowler!K127="medium",5, 1)))</f>
        <v>1</v>
      </c>
      <c r="M127" s="3" t="n">
        <f aca="false">Prowler!A127</f>
        <v>0</v>
      </c>
      <c r="O127" s="4" t="str">
        <f aca="false">IF(Prowler!N127="", "", _xlfn.CONCAT("[{""key"":""",SUBSTITUTE(SUBSTITUTE(Prowler!N127,"=",""",""value"":""")," | ","""},{""key"":"""),"""}]"))</f>
        <v/>
      </c>
    </row>
    <row r="128" customFormat="false" ht="135.45" hidden="false" customHeight="false" outlineLevel="0" collapsed="false">
      <c r="B128" s="1" t="str">
        <f aca="false">UPPER(Prowler!C128)</f>
        <v/>
      </c>
      <c r="C128" s="1" t="str">
        <f aca="false">IF(Prowler!AL128&lt;&gt;"",Prowler!AL128, _xlfn.CONCAT("arn:aws:ec2:",F128,":",Prowler!AD128,":instance/",Prowler!AK128))</f>
        <v>arn:aws:ec2:::instance/</v>
      </c>
      <c r="F128" s="1" t="n">
        <f aca="false">Prowler!AJ128</f>
        <v>0</v>
      </c>
      <c r="G128" s="1" t="n">
        <f aca="false">Prowler!E128</f>
        <v>0</v>
      </c>
      <c r="H128" s="4" t="str">
        <f aca="false">_xlfn.TEXTJOIN(CHAR(10),1, Prowler!O128:Q128)</f>
        <v/>
      </c>
      <c r="I128" s="4" t="str">
        <f aca="false">_xlfn.TEXTJOIN(CHAR(10),1, Prowler!R128:W128)</f>
        <v/>
      </c>
      <c r="J128" s="1" t="n">
        <f aca="false">IF(Prowler!K128="critical",10, IF(Prowler!K128="high",7, IF(Prowler!K128="medium",5, 1)))</f>
        <v>1</v>
      </c>
      <c r="M128" s="3" t="n">
        <f aca="false">Prowler!A128</f>
        <v>0</v>
      </c>
      <c r="O128" s="4" t="str">
        <f aca="false">IF(Prowler!N128="", "", _xlfn.CONCAT("[{""key"":""",SUBSTITUTE(SUBSTITUTE(Prowler!N128,"=",""",""value"":""")," | ","""},{""key"":"""),"""}]"))</f>
        <v/>
      </c>
    </row>
    <row r="129" customFormat="false" ht="135.45" hidden="false" customHeight="false" outlineLevel="0" collapsed="false">
      <c r="B129" s="1" t="str">
        <f aca="false">UPPER(Prowler!C129)</f>
        <v/>
      </c>
      <c r="C129" s="1" t="str">
        <f aca="false">IF(Prowler!AL129&lt;&gt;"",Prowler!AL129, _xlfn.CONCAT("arn:aws:ec2:",F129,":",Prowler!AD129,":instance/",Prowler!AK129))</f>
        <v>arn:aws:ec2:::instance/</v>
      </c>
      <c r="F129" s="1" t="n">
        <f aca="false">Prowler!AJ129</f>
        <v>0</v>
      </c>
      <c r="G129" s="1" t="n">
        <f aca="false">Prowler!E129</f>
        <v>0</v>
      </c>
      <c r="H129" s="4" t="str">
        <f aca="false">_xlfn.TEXTJOIN(CHAR(10),1, Prowler!O129:Q129)</f>
        <v/>
      </c>
      <c r="I129" s="4" t="str">
        <f aca="false">_xlfn.TEXTJOIN(CHAR(10),1, Prowler!R129:W129)</f>
        <v/>
      </c>
      <c r="J129" s="1" t="n">
        <f aca="false">IF(Prowler!K129="critical",10, IF(Prowler!K129="high",7, IF(Prowler!K129="medium",5, 1)))</f>
        <v>1</v>
      </c>
      <c r="M129" s="3" t="n">
        <f aca="false">Prowler!A129</f>
        <v>0</v>
      </c>
      <c r="O129" s="4" t="str">
        <f aca="false">IF(Prowler!N129="", "", _xlfn.CONCAT("[{""key"":""",SUBSTITUTE(SUBSTITUTE(Prowler!N129,"=",""",""value"":""")," | ","""},{""key"":"""),"""}]"))</f>
        <v/>
      </c>
    </row>
    <row r="130" customFormat="false" ht="135.45" hidden="false" customHeight="false" outlineLevel="0" collapsed="false">
      <c r="B130" s="1" t="str">
        <f aca="false">UPPER(Prowler!C130)</f>
        <v/>
      </c>
      <c r="C130" s="1" t="str">
        <f aca="false">IF(Prowler!AL130&lt;&gt;"",Prowler!AL130, _xlfn.CONCAT("arn:aws:ec2:",F130,":",Prowler!AD130,":instance/",Prowler!AK130))</f>
        <v>arn:aws:ec2:::instance/</v>
      </c>
      <c r="F130" s="1" t="n">
        <f aca="false">Prowler!AJ130</f>
        <v>0</v>
      </c>
      <c r="G130" s="1" t="n">
        <f aca="false">Prowler!E130</f>
        <v>0</v>
      </c>
      <c r="H130" s="4" t="str">
        <f aca="false">_xlfn.TEXTJOIN(CHAR(10),1, Prowler!O130:Q130)</f>
        <v/>
      </c>
      <c r="I130" s="4" t="str">
        <f aca="false">_xlfn.TEXTJOIN(CHAR(10),1, Prowler!R130:W130)</f>
        <v/>
      </c>
      <c r="J130" s="1" t="n">
        <f aca="false">IF(Prowler!K130="critical",10, IF(Prowler!K130="high",7, IF(Prowler!K130="medium",5, 1)))</f>
        <v>1</v>
      </c>
      <c r="M130" s="3" t="n">
        <f aca="false">Prowler!A130</f>
        <v>0</v>
      </c>
      <c r="O130" s="4" t="str">
        <f aca="false">IF(Prowler!N130="", "", _xlfn.CONCAT("[{""key"":""",SUBSTITUTE(SUBSTITUTE(Prowler!N130,"=",""",""value"":""")," | ","""},{""key"":"""),"""}]"))</f>
        <v/>
      </c>
    </row>
    <row r="131" customFormat="false" ht="135.45" hidden="false" customHeight="false" outlineLevel="0" collapsed="false">
      <c r="B131" s="1" t="str">
        <f aca="false">UPPER(Prowler!C131)</f>
        <v/>
      </c>
      <c r="C131" s="1" t="str">
        <f aca="false">IF(Prowler!AL131&lt;&gt;"",Prowler!AL131, _xlfn.CONCAT("arn:aws:ec2:",F131,":",Prowler!AD131,":instance/",Prowler!AK131))</f>
        <v>arn:aws:ec2:::instance/</v>
      </c>
      <c r="F131" s="1" t="n">
        <f aca="false">Prowler!AJ131</f>
        <v>0</v>
      </c>
      <c r="G131" s="1" t="n">
        <f aca="false">Prowler!E131</f>
        <v>0</v>
      </c>
      <c r="H131" s="4" t="str">
        <f aca="false">_xlfn.TEXTJOIN(CHAR(10),1, Prowler!O131:Q131)</f>
        <v/>
      </c>
      <c r="I131" s="4" t="str">
        <f aca="false">_xlfn.TEXTJOIN(CHAR(10),1, Prowler!R131:W131)</f>
        <v/>
      </c>
      <c r="J131" s="1" t="n">
        <f aca="false">IF(Prowler!K131="critical",10, IF(Prowler!K131="high",7, IF(Prowler!K131="medium",5, 1)))</f>
        <v>1</v>
      </c>
      <c r="M131" s="3" t="n">
        <f aca="false">Prowler!A131</f>
        <v>0</v>
      </c>
      <c r="O131" s="4" t="str">
        <f aca="false">IF(Prowler!N131="", "", _xlfn.CONCAT("[{""key"":""",SUBSTITUTE(SUBSTITUTE(Prowler!N131,"=",""",""value"":""")," | ","""},{""key"":"""),"""}]"))</f>
        <v/>
      </c>
    </row>
    <row r="132" customFormat="false" ht="135.45" hidden="false" customHeight="false" outlineLevel="0" collapsed="false">
      <c r="B132" s="1" t="str">
        <f aca="false">UPPER(Prowler!C132)</f>
        <v/>
      </c>
      <c r="C132" s="1" t="str">
        <f aca="false">IF(Prowler!AL132&lt;&gt;"",Prowler!AL132, _xlfn.CONCAT("arn:aws:ec2:",F132,":",Prowler!AD132,":instance/",Prowler!AK132))</f>
        <v>arn:aws:ec2:::instance/</v>
      </c>
      <c r="F132" s="1" t="n">
        <f aca="false">Prowler!AJ132</f>
        <v>0</v>
      </c>
      <c r="G132" s="1" t="n">
        <f aca="false">Prowler!E132</f>
        <v>0</v>
      </c>
      <c r="H132" s="4" t="str">
        <f aca="false">_xlfn.TEXTJOIN(CHAR(10),1, Prowler!O132:Q132)</f>
        <v/>
      </c>
      <c r="I132" s="4" t="str">
        <f aca="false">_xlfn.TEXTJOIN(CHAR(10),1, Prowler!R132:W132)</f>
        <v/>
      </c>
      <c r="J132" s="1" t="n">
        <f aca="false">IF(Prowler!K132="critical",10, IF(Prowler!K132="high",7, IF(Prowler!K132="medium",5, 1)))</f>
        <v>1</v>
      </c>
      <c r="M132" s="3" t="n">
        <f aca="false">Prowler!A132</f>
        <v>0</v>
      </c>
      <c r="O132" s="4" t="str">
        <f aca="false">IF(Prowler!N132="", "", _xlfn.CONCAT("[{""key"":""",SUBSTITUTE(SUBSTITUTE(Prowler!N132,"=",""",""value"":""")," | ","""},{""key"":"""),"""}]"))</f>
        <v/>
      </c>
    </row>
    <row r="133" customFormat="false" ht="135.45" hidden="false" customHeight="false" outlineLevel="0" collapsed="false">
      <c r="B133" s="1" t="str">
        <f aca="false">UPPER(Prowler!C133)</f>
        <v/>
      </c>
      <c r="C133" s="1" t="str">
        <f aca="false">IF(Prowler!AL133&lt;&gt;"",Prowler!AL133, _xlfn.CONCAT("arn:aws:ec2:",F133,":",Prowler!AD133,":instance/",Prowler!AK133))</f>
        <v>arn:aws:ec2:::instance/</v>
      </c>
      <c r="F133" s="1" t="n">
        <f aca="false">Prowler!AJ133</f>
        <v>0</v>
      </c>
      <c r="G133" s="1" t="n">
        <f aca="false">Prowler!E133</f>
        <v>0</v>
      </c>
      <c r="H133" s="4" t="str">
        <f aca="false">_xlfn.TEXTJOIN(CHAR(10),1, Prowler!O133:Q133)</f>
        <v/>
      </c>
      <c r="I133" s="4" t="str">
        <f aca="false">_xlfn.TEXTJOIN(CHAR(10),1, Prowler!R133:W133)</f>
        <v/>
      </c>
      <c r="J133" s="1" t="n">
        <f aca="false">IF(Prowler!K133="critical",10, IF(Prowler!K133="high",7, IF(Prowler!K133="medium",5, 1)))</f>
        <v>1</v>
      </c>
      <c r="M133" s="3" t="n">
        <f aca="false">Prowler!A133</f>
        <v>0</v>
      </c>
      <c r="O133" s="4" t="str">
        <f aca="false">IF(Prowler!N133="", "", _xlfn.CONCAT("[{""key"":""",SUBSTITUTE(SUBSTITUTE(Prowler!N133,"=",""",""value"":""")," | ","""},{""key"":"""),"""}]"))</f>
        <v/>
      </c>
    </row>
    <row r="134" customFormat="false" ht="135.45" hidden="false" customHeight="false" outlineLevel="0" collapsed="false">
      <c r="B134" s="1" t="str">
        <f aca="false">UPPER(Prowler!C134)</f>
        <v/>
      </c>
      <c r="C134" s="1" t="str">
        <f aca="false">IF(Prowler!AL134&lt;&gt;"",Prowler!AL134, _xlfn.CONCAT("arn:aws:ec2:",F134,":",Prowler!AD134,":instance/",Prowler!AK134))</f>
        <v>arn:aws:ec2:::instance/</v>
      </c>
      <c r="F134" s="1" t="n">
        <f aca="false">Prowler!AJ134</f>
        <v>0</v>
      </c>
      <c r="G134" s="1" t="n">
        <f aca="false">Prowler!E134</f>
        <v>0</v>
      </c>
      <c r="H134" s="4" t="str">
        <f aca="false">_xlfn.TEXTJOIN(CHAR(10),1, Prowler!O134:Q134)</f>
        <v/>
      </c>
      <c r="I134" s="4" t="str">
        <f aca="false">_xlfn.TEXTJOIN(CHAR(10),1, Prowler!R134:W134)</f>
        <v/>
      </c>
      <c r="J134" s="1" t="n">
        <f aca="false">IF(Prowler!K134="critical",10, IF(Prowler!K134="high",7, IF(Prowler!K134="medium",5, 1)))</f>
        <v>1</v>
      </c>
      <c r="M134" s="3" t="n">
        <f aca="false">Prowler!A134</f>
        <v>0</v>
      </c>
      <c r="O134" s="4" t="str">
        <f aca="false">IF(Prowler!N134="", "", _xlfn.CONCAT("[{""key"":""",SUBSTITUTE(SUBSTITUTE(Prowler!N134,"=",""",""value"":""")," | ","""},{""key"":"""),"""}]"))</f>
        <v/>
      </c>
    </row>
    <row r="135" customFormat="false" ht="135.45" hidden="false" customHeight="false" outlineLevel="0" collapsed="false">
      <c r="B135" s="1" t="str">
        <f aca="false">UPPER(Prowler!C135)</f>
        <v/>
      </c>
      <c r="C135" s="1" t="str">
        <f aca="false">IF(Prowler!AL135&lt;&gt;"",Prowler!AL135, _xlfn.CONCAT("arn:aws:ec2:",F135,":",Prowler!AD135,":instance/",Prowler!AK135))</f>
        <v>arn:aws:ec2:::instance/</v>
      </c>
      <c r="F135" s="1" t="n">
        <f aca="false">Prowler!AJ135</f>
        <v>0</v>
      </c>
      <c r="G135" s="1" t="n">
        <f aca="false">Prowler!E135</f>
        <v>0</v>
      </c>
      <c r="H135" s="4" t="str">
        <f aca="false">_xlfn.TEXTJOIN(CHAR(10),1, Prowler!O135:Q135)</f>
        <v/>
      </c>
      <c r="I135" s="4" t="str">
        <f aca="false">_xlfn.TEXTJOIN(CHAR(10),1, Prowler!R135:W135)</f>
        <v/>
      </c>
      <c r="J135" s="1" t="n">
        <f aca="false">IF(Prowler!K135="critical",10, IF(Prowler!K135="high",7, IF(Prowler!K135="medium",5, 1)))</f>
        <v>1</v>
      </c>
      <c r="M135" s="3" t="n">
        <f aca="false">Prowler!A135</f>
        <v>0</v>
      </c>
      <c r="O135" s="4" t="str">
        <f aca="false">IF(Prowler!N135="", "", _xlfn.CONCAT("[{""key"":""",SUBSTITUTE(SUBSTITUTE(Prowler!N135,"=",""",""value"":""")," | ","""},{""key"":"""),"""}]"))</f>
        <v/>
      </c>
    </row>
    <row r="136" customFormat="false" ht="135.45" hidden="false" customHeight="false" outlineLevel="0" collapsed="false">
      <c r="B136" s="1" t="str">
        <f aca="false">UPPER(Prowler!C136)</f>
        <v/>
      </c>
      <c r="C136" s="1" t="str">
        <f aca="false">IF(Prowler!AL136&lt;&gt;"",Prowler!AL136, _xlfn.CONCAT("arn:aws:ec2:",F136,":",Prowler!AD136,":instance/",Prowler!AK136))</f>
        <v>arn:aws:ec2:::instance/</v>
      </c>
      <c r="F136" s="1" t="n">
        <f aca="false">Prowler!AJ136</f>
        <v>0</v>
      </c>
      <c r="G136" s="1" t="n">
        <f aca="false">Prowler!E136</f>
        <v>0</v>
      </c>
      <c r="H136" s="4" t="str">
        <f aca="false">_xlfn.TEXTJOIN(CHAR(10),1, Prowler!O136:Q136)</f>
        <v/>
      </c>
      <c r="I136" s="4" t="str">
        <f aca="false">_xlfn.TEXTJOIN(CHAR(10),1, Prowler!R136:W136)</f>
        <v/>
      </c>
      <c r="J136" s="1" t="n">
        <f aca="false">IF(Prowler!K136="critical",10, IF(Prowler!K136="high",7, IF(Prowler!K136="medium",5, 1)))</f>
        <v>1</v>
      </c>
      <c r="M136" s="3" t="n">
        <f aca="false">Prowler!A136</f>
        <v>0</v>
      </c>
      <c r="O136" s="4" t="str">
        <f aca="false">IF(Prowler!N136="", "", _xlfn.CONCAT("[{""key"":""",SUBSTITUTE(SUBSTITUTE(Prowler!N136,"=",""",""value"":""")," | ","""},{""key"":"""),"""}]"))</f>
        <v/>
      </c>
    </row>
    <row r="137" customFormat="false" ht="135.45" hidden="false" customHeight="false" outlineLevel="0" collapsed="false">
      <c r="B137" s="1" t="str">
        <f aca="false">UPPER(Prowler!C137)</f>
        <v/>
      </c>
      <c r="C137" s="1" t="str">
        <f aca="false">IF(Prowler!AL137&lt;&gt;"",Prowler!AL137, _xlfn.CONCAT("arn:aws:ec2:",F137,":",Prowler!AD137,":instance/",Prowler!AK137))</f>
        <v>arn:aws:ec2:::instance/</v>
      </c>
      <c r="F137" s="1" t="n">
        <f aca="false">Prowler!AJ137</f>
        <v>0</v>
      </c>
      <c r="G137" s="1" t="n">
        <f aca="false">Prowler!E137</f>
        <v>0</v>
      </c>
      <c r="H137" s="4" t="str">
        <f aca="false">_xlfn.TEXTJOIN(CHAR(10),1, Prowler!O137:Q137)</f>
        <v/>
      </c>
      <c r="I137" s="4" t="str">
        <f aca="false">_xlfn.TEXTJOIN(CHAR(10),1, Prowler!R137:W137)</f>
        <v/>
      </c>
      <c r="J137" s="1" t="n">
        <f aca="false">IF(Prowler!K137="critical",10, IF(Prowler!K137="high",7, IF(Prowler!K137="medium",5, 1)))</f>
        <v>1</v>
      </c>
      <c r="M137" s="3" t="n">
        <f aca="false">Prowler!A137</f>
        <v>0</v>
      </c>
      <c r="O137" s="4" t="str">
        <f aca="false">IF(Prowler!N137="", "", _xlfn.CONCAT("[{""key"":""",SUBSTITUTE(SUBSTITUTE(Prowler!N137,"=",""",""value"":""")," | ","""},{""key"":"""),"""}]"))</f>
        <v/>
      </c>
    </row>
    <row r="138" customFormat="false" ht="135.45" hidden="false" customHeight="false" outlineLevel="0" collapsed="false">
      <c r="B138" s="1" t="str">
        <f aca="false">UPPER(Prowler!C138)</f>
        <v/>
      </c>
      <c r="C138" s="1" t="str">
        <f aca="false">IF(Prowler!AL138&lt;&gt;"",Prowler!AL138, _xlfn.CONCAT("arn:aws:ec2:",F138,":",Prowler!AD138,":instance/",Prowler!AK138))</f>
        <v>arn:aws:ec2:::instance/</v>
      </c>
      <c r="F138" s="1" t="n">
        <f aca="false">Prowler!AJ138</f>
        <v>0</v>
      </c>
      <c r="G138" s="1" t="n">
        <f aca="false">Prowler!E138</f>
        <v>0</v>
      </c>
      <c r="H138" s="4" t="str">
        <f aca="false">_xlfn.TEXTJOIN(CHAR(10),1, Prowler!O138:Q138)</f>
        <v/>
      </c>
      <c r="I138" s="4" t="str">
        <f aca="false">_xlfn.TEXTJOIN(CHAR(10),1, Prowler!R138:W138)</f>
        <v/>
      </c>
      <c r="J138" s="1" t="n">
        <f aca="false">IF(Prowler!K138="critical",10, IF(Prowler!K138="high",7, IF(Prowler!K138="medium",5, 1)))</f>
        <v>1</v>
      </c>
      <c r="M138" s="3" t="n">
        <f aca="false">Prowler!A138</f>
        <v>0</v>
      </c>
      <c r="O138" s="4" t="str">
        <f aca="false">IF(Prowler!N138="", "", _xlfn.CONCAT("[{""key"":""",SUBSTITUTE(SUBSTITUTE(Prowler!N138,"=",""",""value"":""")," | ","""},{""key"":"""),"""}]"))</f>
        <v/>
      </c>
    </row>
    <row r="139" customFormat="false" ht="135.45" hidden="false" customHeight="false" outlineLevel="0" collapsed="false">
      <c r="B139" s="1" t="str">
        <f aca="false">UPPER(Prowler!C139)</f>
        <v/>
      </c>
      <c r="C139" s="1" t="str">
        <f aca="false">IF(Prowler!AL139&lt;&gt;"",Prowler!AL139, _xlfn.CONCAT("arn:aws:ec2:",F139,":",Prowler!AD139,":instance/",Prowler!AK139))</f>
        <v>arn:aws:ec2:::instance/</v>
      </c>
      <c r="F139" s="1" t="n">
        <f aca="false">Prowler!AJ139</f>
        <v>0</v>
      </c>
      <c r="G139" s="1" t="n">
        <f aca="false">Prowler!E139</f>
        <v>0</v>
      </c>
      <c r="H139" s="4" t="str">
        <f aca="false">_xlfn.TEXTJOIN(CHAR(10),1, Prowler!O139:Q139)</f>
        <v/>
      </c>
      <c r="I139" s="4" t="str">
        <f aca="false">_xlfn.TEXTJOIN(CHAR(10),1, Prowler!R139:W139)</f>
        <v/>
      </c>
      <c r="J139" s="1" t="n">
        <f aca="false">IF(Prowler!K139="critical",10, IF(Prowler!K139="high",7, IF(Prowler!K139="medium",5, 1)))</f>
        <v>1</v>
      </c>
      <c r="M139" s="3" t="n">
        <f aca="false">Prowler!A139</f>
        <v>0</v>
      </c>
      <c r="O139" s="4" t="str">
        <f aca="false">IF(Prowler!N139="", "", _xlfn.CONCAT("[{""key"":""",SUBSTITUTE(SUBSTITUTE(Prowler!N139,"=",""",""value"":""")," | ","""},{""key"":"""),"""}]"))</f>
        <v/>
      </c>
    </row>
    <row r="140" customFormat="false" ht="135.45" hidden="false" customHeight="false" outlineLevel="0" collapsed="false">
      <c r="B140" s="1" t="str">
        <f aca="false">UPPER(Prowler!C140)</f>
        <v/>
      </c>
      <c r="C140" s="1" t="str">
        <f aca="false">IF(Prowler!AL140&lt;&gt;"",Prowler!AL140, _xlfn.CONCAT("arn:aws:ec2:",F140,":",Prowler!AD140,":instance/",Prowler!AK140))</f>
        <v>arn:aws:ec2:::instance/</v>
      </c>
      <c r="F140" s="1" t="n">
        <f aca="false">Prowler!AJ140</f>
        <v>0</v>
      </c>
      <c r="G140" s="1" t="n">
        <f aca="false">Prowler!E140</f>
        <v>0</v>
      </c>
      <c r="H140" s="4" t="str">
        <f aca="false">_xlfn.TEXTJOIN(CHAR(10),1, Prowler!O140:Q140)</f>
        <v/>
      </c>
      <c r="I140" s="4" t="str">
        <f aca="false">_xlfn.TEXTJOIN(CHAR(10),1, Prowler!R140:W140)</f>
        <v/>
      </c>
      <c r="J140" s="1" t="n">
        <f aca="false">IF(Prowler!K140="critical",10, IF(Prowler!K140="high",7, IF(Prowler!K140="medium",5, 1)))</f>
        <v>1</v>
      </c>
      <c r="M140" s="3" t="n">
        <f aca="false">Prowler!A140</f>
        <v>0</v>
      </c>
      <c r="O140" s="4" t="str">
        <f aca="false">IF(Prowler!N140="", "", _xlfn.CONCAT("[{""key"":""",SUBSTITUTE(SUBSTITUTE(Prowler!N140,"=",""",""value"":""")," | ","""},{""key"":"""),"""}]"))</f>
        <v/>
      </c>
    </row>
    <row r="141" customFormat="false" ht="135.45" hidden="false" customHeight="false" outlineLevel="0" collapsed="false">
      <c r="B141" s="1" t="str">
        <f aca="false">UPPER(Prowler!C141)</f>
        <v/>
      </c>
      <c r="C141" s="1" t="str">
        <f aca="false">IF(Prowler!AL141&lt;&gt;"",Prowler!AL141, _xlfn.CONCAT("arn:aws:ec2:",F141,":",Prowler!AD141,":instance/",Prowler!AK141))</f>
        <v>arn:aws:ec2:::instance/</v>
      </c>
      <c r="F141" s="1" t="n">
        <f aca="false">Prowler!AJ141</f>
        <v>0</v>
      </c>
      <c r="G141" s="1" t="n">
        <f aca="false">Prowler!E141</f>
        <v>0</v>
      </c>
      <c r="H141" s="4" t="str">
        <f aca="false">_xlfn.TEXTJOIN(CHAR(10),1, Prowler!O141:Q141)</f>
        <v/>
      </c>
      <c r="I141" s="4" t="str">
        <f aca="false">_xlfn.TEXTJOIN(CHAR(10),1, Prowler!R141:W141)</f>
        <v/>
      </c>
      <c r="J141" s="1" t="n">
        <f aca="false">IF(Prowler!K141="critical",10, IF(Prowler!K141="high",7, IF(Prowler!K141="medium",5, 1)))</f>
        <v>1</v>
      </c>
      <c r="M141" s="3" t="n">
        <f aca="false">Prowler!A141</f>
        <v>0</v>
      </c>
      <c r="O141" s="4" t="str">
        <f aca="false">IF(Prowler!N141="", "", _xlfn.CONCAT("[{""key"":""",SUBSTITUTE(SUBSTITUTE(Prowler!N141,"=",""",""value"":""")," | ","""},{""key"":"""),"""}]"))</f>
        <v/>
      </c>
    </row>
    <row r="142" customFormat="false" ht="135.45" hidden="false" customHeight="false" outlineLevel="0" collapsed="false">
      <c r="B142" s="1" t="str">
        <f aca="false">UPPER(Prowler!C142)</f>
        <v/>
      </c>
      <c r="C142" s="1" t="str">
        <f aca="false">IF(Prowler!AL142&lt;&gt;"",Prowler!AL142, _xlfn.CONCAT("arn:aws:ec2:",F142,":",Prowler!AD142,":instance/",Prowler!AK142))</f>
        <v>arn:aws:ec2:::instance/</v>
      </c>
      <c r="F142" s="1" t="n">
        <f aca="false">Prowler!AJ142</f>
        <v>0</v>
      </c>
      <c r="G142" s="1" t="n">
        <f aca="false">Prowler!E142</f>
        <v>0</v>
      </c>
      <c r="H142" s="4" t="str">
        <f aca="false">_xlfn.TEXTJOIN(CHAR(10),1, Prowler!O142:Q142)</f>
        <v/>
      </c>
      <c r="I142" s="4" t="str">
        <f aca="false">_xlfn.TEXTJOIN(CHAR(10),1, Prowler!R142:W142)</f>
        <v/>
      </c>
      <c r="J142" s="1" t="n">
        <f aca="false">IF(Prowler!K142="critical",10, IF(Prowler!K142="high",7, IF(Prowler!K142="medium",5, 1)))</f>
        <v>1</v>
      </c>
      <c r="M142" s="3" t="n">
        <f aca="false">Prowler!A142</f>
        <v>0</v>
      </c>
      <c r="O142" s="4" t="str">
        <f aca="false">IF(Prowler!N142="", "", _xlfn.CONCAT("[{""key"":""",SUBSTITUTE(SUBSTITUTE(Prowler!N142,"=",""",""value"":""")," | ","""},{""key"":"""),"""}]"))</f>
        <v/>
      </c>
    </row>
    <row r="143" customFormat="false" ht="135.45" hidden="false" customHeight="false" outlineLevel="0" collapsed="false">
      <c r="B143" s="1" t="str">
        <f aca="false">UPPER(Prowler!C143)</f>
        <v/>
      </c>
      <c r="C143" s="1" t="str">
        <f aca="false">IF(Prowler!AL143&lt;&gt;"",Prowler!AL143, _xlfn.CONCAT("arn:aws:ec2:",F143,":",Prowler!AD143,":instance/",Prowler!AK143))</f>
        <v>arn:aws:ec2:::instance/</v>
      </c>
      <c r="F143" s="1" t="n">
        <f aca="false">Prowler!AJ143</f>
        <v>0</v>
      </c>
      <c r="G143" s="1" t="n">
        <f aca="false">Prowler!E143</f>
        <v>0</v>
      </c>
      <c r="H143" s="4" t="str">
        <f aca="false">_xlfn.TEXTJOIN(CHAR(10),1, Prowler!O143:Q143)</f>
        <v/>
      </c>
      <c r="I143" s="4" t="str">
        <f aca="false">_xlfn.TEXTJOIN(CHAR(10),1, Prowler!R143:W143)</f>
        <v/>
      </c>
      <c r="J143" s="1" t="n">
        <f aca="false">IF(Prowler!K143="critical",10, IF(Prowler!K143="high",7, IF(Prowler!K143="medium",5, 1)))</f>
        <v>1</v>
      </c>
      <c r="M143" s="3" t="n">
        <f aca="false">Prowler!A143</f>
        <v>0</v>
      </c>
      <c r="O143" s="4" t="str">
        <f aca="false">IF(Prowler!N143="", "", _xlfn.CONCAT("[{""key"":""",SUBSTITUTE(SUBSTITUTE(Prowler!N143,"=",""",""value"":""")," | ","""},{""key"":"""),"""}]"))</f>
        <v/>
      </c>
    </row>
    <row r="144" customFormat="false" ht="135.45" hidden="false" customHeight="false" outlineLevel="0" collapsed="false">
      <c r="B144" s="1" t="str">
        <f aca="false">UPPER(Prowler!C144)</f>
        <v/>
      </c>
      <c r="C144" s="1" t="str">
        <f aca="false">IF(Prowler!AL144&lt;&gt;"",Prowler!AL144, _xlfn.CONCAT("arn:aws:ec2:",F144,":",Prowler!AD144,":instance/",Prowler!AK144))</f>
        <v>arn:aws:ec2:::instance/</v>
      </c>
      <c r="F144" s="1" t="n">
        <f aca="false">Prowler!AJ144</f>
        <v>0</v>
      </c>
      <c r="G144" s="1" t="n">
        <f aca="false">Prowler!E144</f>
        <v>0</v>
      </c>
      <c r="H144" s="4" t="str">
        <f aca="false">_xlfn.TEXTJOIN(CHAR(10),1, Prowler!O144:Q144)</f>
        <v/>
      </c>
      <c r="I144" s="4" t="str">
        <f aca="false">_xlfn.TEXTJOIN(CHAR(10),1, Prowler!R144:W144)</f>
        <v/>
      </c>
      <c r="J144" s="1" t="n">
        <f aca="false">IF(Prowler!K144="critical",10, IF(Prowler!K144="high",7, IF(Prowler!K144="medium",5, 1)))</f>
        <v>1</v>
      </c>
      <c r="M144" s="3" t="n">
        <f aca="false">Prowler!A144</f>
        <v>0</v>
      </c>
      <c r="O144" s="4" t="str">
        <f aca="false">IF(Prowler!N144="", "", _xlfn.CONCAT("[{""key"":""",SUBSTITUTE(SUBSTITUTE(Prowler!N144,"=",""",""value"":""")," | ","""},{""key"":"""),"""}]"))</f>
        <v/>
      </c>
    </row>
    <row r="145" customFormat="false" ht="135.45" hidden="false" customHeight="false" outlineLevel="0" collapsed="false">
      <c r="B145" s="1" t="str">
        <f aca="false">UPPER(Prowler!C145)</f>
        <v/>
      </c>
      <c r="C145" s="1" t="str">
        <f aca="false">IF(Prowler!AL145&lt;&gt;"",Prowler!AL145, _xlfn.CONCAT("arn:aws:ec2:",F145,":",Prowler!AD145,":instance/",Prowler!AK145))</f>
        <v>arn:aws:ec2:::instance/</v>
      </c>
      <c r="F145" s="1" t="n">
        <f aca="false">Prowler!AJ145</f>
        <v>0</v>
      </c>
      <c r="G145" s="1" t="n">
        <f aca="false">Prowler!E145</f>
        <v>0</v>
      </c>
      <c r="H145" s="4" t="str">
        <f aca="false">_xlfn.TEXTJOIN(CHAR(10),1, Prowler!O145:Q145)</f>
        <v/>
      </c>
      <c r="I145" s="4" t="str">
        <f aca="false">_xlfn.TEXTJOIN(CHAR(10),1, Prowler!R145:W145)</f>
        <v/>
      </c>
      <c r="J145" s="1" t="n">
        <f aca="false">IF(Prowler!K145="critical",10, IF(Prowler!K145="high",7, IF(Prowler!K145="medium",5, 1)))</f>
        <v>1</v>
      </c>
      <c r="M145" s="3" t="n">
        <f aca="false">Prowler!A145</f>
        <v>0</v>
      </c>
      <c r="O145" s="4" t="str">
        <f aca="false">IF(Prowler!N145="", "", _xlfn.CONCAT("[{""key"":""",SUBSTITUTE(SUBSTITUTE(Prowler!N145,"=",""",""value"":""")," | ","""},{""key"":"""),"""}]"))</f>
        <v/>
      </c>
    </row>
    <row r="146" customFormat="false" ht="135.45" hidden="false" customHeight="false" outlineLevel="0" collapsed="false">
      <c r="B146" s="1" t="str">
        <f aca="false">UPPER(Prowler!C146)</f>
        <v/>
      </c>
      <c r="C146" s="1" t="str">
        <f aca="false">IF(Prowler!AL146&lt;&gt;"",Prowler!AL146, _xlfn.CONCAT("arn:aws:ec2:",F146,":",Prowler!AD146,":instance/",Prowler!AK146))</f>
        <v>arn:aws:ec2:::instance/</v>
      </c>
      <c r="F146" s="1" t="n">
        <f aca="false">Prowler!AJ146</f>
        <v>0</v>
      </c>
      <c r="G146" s="1" t="n">
        <f aca="false">Prowler!E146</f>
        <v>0</v>
      </c>
      <c r="H146" s="4" t="str">
        <f aca="false">_xlfn.TEXTJOIN(CHAR(10),1, Prowler!O146:Q146)</f>
        <v/>
      </c>
      <c r="I146" s="4" t="str">
        <f aca="false">_xlfn.TEXTJOIN(CHAR(10),1, Prowler!R146:W146)</f>
        <v/>
      </c>
      <c r="J146" s="1" t="n">
        <f aca="false">IF(Prowler!K146="critical",10, IF(Prowler!K146="high",7, IF(Prowler!K146="medium",5, 1)))</f>
        <v>1</v>
      </c>
      <c r="M146" s="3" t="n">
        <f aca="false">Prowler!A146</f>
        <v>0</v>
      </c>
      <c r="O146" s="4" t="str">
        <f aca="false">IF(Prowler!N146="", "", _xlfn.CONCAT("[{""key"":""",SUBSTITUTE(SUBSTITUTE(Prowler!N146,"=",""",""value"":""")," | ","""},{""key"":"""),"""}]"))</f>
        <v/>
      </c>
    </row>
    <row r="147" customFormat="false" ht="135.45" hidden="false" customHeight="false" outlineLevel="0" collapsed="false">
      <c r="B147" s="1" t="str">
        <f aca="false">UPPER(Prowler!C147)</f>
        <v/>
      </c>
      <c r="C147" s="1" t="str">
        <f aca="false">IF(Prowler!AL147&lt;&gt;"",Prowler!AL147, _xlfn.CONCAT("arn:aws:ec2:",F147,":",Prowler!AD147,":instance/",Prowler!AK147))</f>
        <v>arn:aws:ec2:::instance/</v>
      </c>
      <c r="F147" s="1" t="n">
        <f aca="false">Prowler!AJ147</f>
        <v>0</v>
      </c>
      <c r="G147" s="1" t="n">
        <f aca="false">Prowler!E147</f>
        <v>0</v>
      </c>
      <c r="H147" s="4" t="str">
        <f aca="false">_xlfn.TEXTJOIN(CHAR(10),1, Prowler!O147:Q147)</f>
        <v/>
      </c>
      <c r="I147" s="4" t="str">
        <f aca="false">_xlfn.TEXTJOIN(CHAR(10),1, Prowler!R147:W147)</f>
        <v/>
      </c>
      <c r="J147" s="1" t="n">
        <f aca="false">IF(Prowler!K147="critical",10, IF(Prowler!K147="high",7, IF(Prowler!K147="medium",5, 1)))</f>
        <v>1</v>
      </c>
      <c r="M147" s="3" t="n">
        <f aca="false">Prowler!A147</f>
        <v>0</v>
      </c>
      <c r="O147" s="4" t="str">
        <f aca="false">IF(Prowler!N147="", "", _xlfn.CONCAT("[{""key"":""",SUBSTITUTE(SUBSTITUTE(Prowler!N147,"=",""",""value"":""")," | ","""},{""key"":"""),"""}]"))</f>
        <v/>
      </c>
    </row>
    <row r="148" customFormat="false" ht="135.45" hidden="false" customHeight="false" outlineLevel="0" collapsed="false">
      <c r="B148" s="1" t="str">
        <f aca="false">UPPER(Prowler!C148)</f>
        <v/>
      </c>
      <c r="C148" s="1" t="str">
        <f aca="false">IF(Prowler!AL148&lt;&gt;"",Prowler!AL148, _xlfn.CONCAT("arn:aws:ec2:",F148,":",Prowler!AD148,":instance/",Prowler!AK148))</f>
        <v>arn:aws:ec2:::instance/</v>
      </c>
      <c r="F148" s="1" t="n">
        <f aca="false">Prowler!AJ148</f>
        <v>0</v>
      </c>
      <c r="G148" s="1" t="n">
        <f aca="false">Prowler!E148</f>
        <v>0</v>
      </c>
      <c r="H148" s="4" t="str">
        <f aca="false">_xlfn.TEXTJOIN(CHAR(10),1, Prowler!O148:Q148)</f>
        <v/>
      </c>
      <c r="I148" s="4" t="str">
        <f aca="false">_xlfn.TEXTJOIN(CHAR(10),1, Prowler!R148:W148)</f>
        <v/>
      </c>
      <c r="J148" s="1" t="n">
        <f aca="false">IF(Prowler!K148="critical",10, IF(Prowler!K148="high",7, IF(Prowler!K148="medium",5, 1)))</f>
        <v>1</v>
      </c>
      <c r="M148" s="3" t="n">
        <f aca="false">Prowler!A148</f>
        <v>0</v>
      </c>
      <c r="O148" s="4" t="str">
        <f aca="false">IF(Prowler!N148="", "", _xlfn.CONCAT("[{""key"":""",SUBSTITUTE(SUBSTITUTE(Prowler!N148,"=",""",""value"":""")," | ","""},{""key"":"""),"""}]"))</f>
        <v/>
      </c>
    </row>
    <row r="149" customFormat="false" ht="135.45" hidden="false" customHeight="false" outlineLevel="0" collapsed="false">
      <c r="B149" s="1" t="str">
        <f aca="false">UPPER(Prowler!C149)</f>
        <v/>
      </c>
      <c r="C149" s="1" t="str">
        <f aca="false">IF(Prowler!AL149&lt;&gt;"",Prowler!AL149, _xlfn.CONCAT("arn:aws:ec2:",F149,":",Prowler!AD149,":instance/",Prowler!AK149))</f>
        <v>arn:aws:ec2:::instance/</v>
      </c>
      <c r="F149" s="1" t="n">
        <f aca="false">Prowler!AJ149</f>
        <v>0</v>
      </c>
      <c r="G149" s="1" t="n">
        <f aca="false">Prowler!E149</f>
        <v>0</v>
      </c>
      <c r="H149" s="4" t="str">
        <f aca="false">_xlfn.TEXTJOIN(CHAR(10),1, Prowler!O149:Q149)</f>
        <v/>
      </c>
      <c r="I149" s="4" t="str">
        <f aca="false">_xlfn.TEXTJOIN(CHAR(10),1, Prowler!R149:W149)</f>
        <v/>
      </c>
      <c r="J149" s="1" t="n">
        <f aca="false">IF(Prowler!K149="critical",10, IF(Prowler!K149="high",7, IF(Prowler!K149="medium",5, 1)))</f>
        <v>1</v>
      </c>
      <c r="M149" s="3" t="n">
        <f aca="false">Prowler!A149</f>
        <v>0</v>
      </c>
      <c r="O149" s="4" t="str">
        <f aca="false">IF(Prowler!N149="", "", _xlfn.CONCAT("[{""key"":""",SUBSTITUTE(SUBSTITUTE(Prowler!N149,"=",""",""value"":""")," | ","""},{""key"":"""),"""}]"))</f>
        <v/>
      </c>
    </row>
    <row r="150" customFormat="false" ht="135.45" hidden="false" customHeight="false" outlineLevel="0" collapsed="false">
      <c r="B150" s="1" t="str">
        <f aca="false">UPPER(Prowler!C150)</f>
        <v/>
      </c>
      <c r="C150" s="1" t="str">
        <f aca="false">IF(Prowler!AL150&lt;&gt;"",Prowler!AL150, _xlfn.CONCAT("arn:aws:ec2:",F150,":",Prowler!AD150,":instance/",Prowler!AK150))</f>
        <v>arn:aws:ec2:::instance/</v>
      </c>
      <c r="F150" s="1" t="n">
        <f aca="false">Prowler!AJ150</f>
        <v>0</v>
      </c>
      <c r="G150" s="1" t="n">
        <f aca="false">Prowler!E150</f>
        <v>0</v>
      </c>
      <c r="H150" s="4" t="str">
        <f aca="false">_xlfn.TEXTJOIN(CHAR(10),1, Prowler!O150:Q150)</f>
        <v/>
      </c>
      <c r="I150" s="4" t="str">
        <f aca="false">_xlfn.TEXTJOIN(CHAR(10),1, Prowler!R150:W150)</f>
        <v/>
      </c>
      <c r="J150" s="1" t="n">
        <f aca="false">IF(Prowler!K150="critical",10, IF(Prowler!K150="high",7, IF(Prowler!K150="medium",5, 1)))</f>
        <v>1</v>
      </c>
      <c r="M150" s="3" t="n">
        <f aca="false">Prowler!A150</f>
        <v>0</v>
      </c>
      <c r="O150" s="4" t="str">
        <f aca="false">IF(Prowler!N150="", "", _xlfn.CONCAT("[{""key"":""",SUBSTITUTE(SUBSTITUTE(Prowler!N150,"=",""",""value"":""")," | ","""},{""key"":"""),"""}]"))</f>
        <v/>
      </c>
    </row>
    <row r="151" customFormat="false" ht="135.45" hidden="false" customHeight="false" outlineLevel="0" collapsed="false">
      <c r="B151" s="1" t="str">
        <f aca="false">UPPER(Prowler!C151)</f>
        <v/>
      </c>
      <c r="C151" s="1" t="str">
        <f aca="false">IF(Prowler!AL151&lt;&gt;"",Prowler!AL151, _xlfn.CONCAT("arn:aws:ec2:",F151,":",Prowler!AD151,":instance/",Prowler!AK151))</f>
        <v>arn:aws:ec2:::instance/</v>
      </c>
      <c r="F151" s="1" t="n">
        <f aca="false">Prowler!AJ151</f>
        <v>0</v>
      </c>
      <c r="G151" s="1" t="n">
        <f aca="false">Prowler!E151</f>
        <v>0</v>
      </c>
      <c r="H151" s="4" t="str">
        <f aca="false">_xlfn.TEXTJOIN(CHAR(10),1, Prowler!O151:Q151)</f>
        <v/>
      </c>
      <c r="I151" s="4" t="str">
        <f aca="false">_xlfn.TEXTJOIN(CHAR(10),1, Prowler!R151:W151)</f>
        <v/>
      </c>
      <c r="J151" s="1" t="n">
        <f aca="false">IF(Prowler!K151="critical",10, IF(Prowler!K151="high",7, IF(Prowler!K151="medium",5, 1)))</f>
        <v>1</v>
      </c>
      <c r="M151" s="3" t="n">
        <f aca="false">Prowler!A151</f>
        <v>0</v>
      </c>
      <c r="O151" s="4" t="str">
        <f aca="false">IF(Prowler!N151="", "", _xlfn.CONCAT("[{""key"":""",SUBSTITUTE(SUBSTITUTE(Prowler!N151,"=",""",""value"":""")," | ","""},{""key"":"""),"""}]"))</f>
        <v/>
      </c>
    </row>
    <row r="152" customFormat="false" ht="135.45" hidden="false" customHeight="false" outlineLevel="0" collapsed="false">
      <c r="B152" s="1" t="str">
        <f aca="false">UPPER(Prowler!C152)</f>
        <v/>
      </c>
      <c r="C152" s="1" t="str">
        <f aca="false">IF(Prowler!AL152&lt;&gt;"",Prowler!AL152, _xlfn.CONCAT("arn:aws:ec2:",F152,":",Prowler!AD152,":instance/",Prowler!AK152))</f>
        <v>arn:aws:ec2:::instance/</v>
      </c>
      <c r="F152" s="1" t="n">
        <f aca="false">Prowler!AJ152</f>
        <v>0</v>
      </c>
      <c r="G152" s="1" t="n">
        <f aca="false">Prowler!E152</f>
        <v>0</v>
      </c>
      <c r="H152" s="4" t="str">
        <f aca="false">_xlfn.TEXTJOIN(CHAR(10),1, Prowler!O152:Q152)</f>
        <v/>
      </c>
      <c r="I152" s="4" t="str">
        <f aca="false">_xlfn.TEXTJOIN(CHAR(10),1, Prowler!R152:W152)</f>
        <v/>
      </c>
      <c r="J152" s="1" t="n">
        <f aca="false">IF(Prowler!K152="critical",10, IF(Prowler!K152="high",7, IF(Prowler!K152="medium",5, 1)))</f>
        <v>1</v>
      </c>
      <c r="M152" s="3" t="n">
        <f aca="false">Prowler!A152</f>
        <v>0</v>
      </c>
      <c r="O152" s="4" t="str">
        <f aca="false">IF(Prowler!N152="", "", _xlfn.CONCAT("[{""key"":""",SUBSTITUTE(SUBSTITUTE(Prowler!N152,"=",""",""value"":""")," | ","""},{""key"":"""),"""}]"))</f>
        <v/>
      </c>
    </row>
    <row r="153" customFormat="false" ht="135.45" hidden="false" customHeight="false" outlineLevel="0" collapsed="false">
      <c r="B153" s="1" t="str">
        <f aca="false">UPPER(Prowler!C153)</f>
        <v/>
      </c>
      <c r="C153" s="1" t="str">
        <f aca="false">IF(Prowler!AL153&lt;&gt;"",Prowler!AL153, _xlfn.CONCAT("arn:aws:ec2:",F153,":",Prowler!AD153,":instance/",Prowler!AK153))</f>
        <v>arn:aws:ec2:::instance/</v>
      </c>
      <c r="F153" s="1" t="n">
        <f aca="false">Prowler!AJ153</f>
        <v>0</v>
      </c>
      <c r="G153" s="1" t="n">
        <f aca="false">Prowler!E153</f>
        <v>0</v>
      </c>
      <c r="H153" s="4" t="str">
        <f aca="false">_xlfn.TEXTJOIN(CHAR(10),1, Prowler!O153:Q153)</f>
        <v/>
      </c>
      <c r="I153" s="4" t="str">
        <f aca="false">_xlfn.TEXTJOIN(CHAR(10),1, Prowler!R153:W153)</f>
        <v/>
      </c>
      <c r="J153" s="1" t="n">
        <f aca="false">IF(Prowler!K153="critical",10, IF(Prowler!K153="high",7, IF(Prowler!K153="medium",5, 1)))</f>
        <v>1</v>
      </c>
      <c r="M153" s="3" t="n">
        <f aca="false">Prowler!A153</f>
        <v>0</v>
      </c>
      <c r="O153" s="4" t="str">
        <f aca="false">IF(Prowler!N153="", "", _xlfn.CONCAT("[{""key"":""",SUBSTITUTE(SUBSTITUTE(Prowler!N153,"=",""",""value"":""")," | ","""},{""key"":"""),"""}]"))</f>
        <v/>
      </c>
    </row>
    <row r="154" customFormat="false" ht="135.45" hidden="false" customHeight="false" outlineLevel="0" collapsed="false">
      <c r="B154" s="1" t="str">
        <f aca="false">UPPER(Prowler!C154)</f>
        <v/>
      </c>
      <c r="C154" s="1" t="str">
        <f aca="false">IF(Prowler!AL154&lt;&gt;"",Prowler!AL154, _xlfn.CONCAT("arn:aws:ec2:",F154,":",Prowler!AD154,":instance/",Prowler!AK154))</f>
        <v>arn:aws:ec2:::instance/</v>
      </c>
      <c r="F154" s="1" t="n">
        <f aca="false">Prowler!AJ154</f>
        <v>0</v>
      </c>
      <c r="G154" s="1" t="n">
        <f aca="false">Prowler!E154</f>
        <v>0</v>
      </c>
      <c r="H154" s="4" t="str">
        <f aca="false">_xlfn.TEXTJOIN(CHAR(10),1, Prowler!O154:Q154)</f>
        <v/>
      </c>
      <c r="I154" s="4" t="str">
        <f aca="false">_xlfn.TEXTJOIN(CHAR(10),1, Prowler!R154:W154)</f>
        <v/>
      </c>
      <c r="J154" s="1" t="n">
        <f aca="false">IF(Prowler!K154="critical",10, IF(Prowler!K154="high",7, IF(Prowler!K154="medium",5, 1)))</f>
        <v>1</v>
      </c>
      <c r="M154" s="3" t="n">
        <f aca="false">Prowler!A154</f>
        <v>0</v>
      </c>
      <c r="O154" s="4" t="str">
        <f aca="false">IF(Prowler!N154="", "", _xlfn.CONCAT("[{""key"":""",SUBSTITUTE(SUBSTITUTE(Prowler!N154,"=",""",""value"":""")," | ","""},{""key"":"""),"""}]"))</f>
        <v/>
      </c>
    </row>
    <row r="155" customFormat="false" ht="135.45" hidden="false" customHeight="false" outlineLevel="0" collapsed="false">
      <c r="B155" s="1" t="str">
        <f aca="false">UPPER(Prowler!C155)</f>
        <v/>
      </c>
      <c r="C155" s="1" t="str">
        <f aca="false">IF(Prowler!AL155&lt;&gt;"",Prowler!AL155, _xlfn.CONCAT("arn:aws:ec2:",F155,":",Prowler!AD155,":instance/",Prowler!AK155))</f>
        <v>arn:aws:ec2:::instance/</v>
      </c>
      <c r="F155" s="1" t="n">
        <f aca="false">Prowler!AJ155</f>
        <v>0</v>
      </c>
      <c r="G155" s="1" t="n">
        <f aca="false">Prowler!E155</f>
        <v>0</v>
      </c>
      <c r="H155" s="4" t="str">
        <f aca="false">_xlfn.TEXTJOIN(CHAR(10),1, Prowler!O155:Q155)</f>
        <v/>
      </c>
      <c r="I155" s="4" t="str">
        <f aca="false">_xlfn.TEXTJOIN(CHAR(10),1, Prowler!R155:W155)</f>
        <v/>
      </c>
      <c r="J155" s="1" t="n">
        <f aca="false">IF(Prowler!K155="critical",10, IF(Prowler!K155="high",7, IF(Prowler!K155="medium",5, 1)))</f>
        <v>1</v>
      </c>
      <c r="M155" s="3" t="n">
        <f aca="false">Prowler!A155</f>
        <v>0</v>
      </c>
      <c r="O155" s="4" t="str">
        <f aca="false">IF(Prowler!N155="", "", _xlfn.CONCAT("[{""key"":""",SUBSTITUTE(SUBSTITUTE(Prowler!N155,"=",""",""value"":""")," | ","""},{""key"":"""),"""}]"))</f>
        <v/>
      </c>
    </row>
    <row r="156" customFormat="false" ht="135.45" hidden="false" customHeight="false" outlineLevel="0" collapsed="false">
      <c r="B156" s="1" t="str">
        <f aca="false">UPPER(Prowler!C156)</f>
        <v/>
      </c>
      <c r="C156" s="1" t="str">
        <f aca="false">IF(Prowler!AL156&lt;&gt;"",Prowler!AL156, _xlfn.CONCAT("arn:aws:ec2:",F156,":",Prowler!AD156,":instance/",Prowler!AK156))</f>
        <v>arn:aws:ec2:::instance/</v>
      </c>
      <c r="F156" s="1" t="n">
        <f aca="false">Prowler!AJ156</f>
        <v>0</v>
      </c>
      <c r="G156" s="1" t="n">
        <f aca="false">Prowler!E156</f>
        <v>0</v>
      </c>
      <c r="H156" s="4" t="str">
        <f aca="false">_xlfn.TEXTJOIN(CHAR(10),1, Prowler!O156:Q156)</f>
        <v/>
      </c>
      <c r="I156" s="4" t="str">
        <f aca="false">_xlfn.TEXTJOIN(CHAR(10),1, Prowler!R156:W156)</f>
        <v/>
      </c>
      <c r="J156" s="1" t="n">
        <f aca="false">IF(Prowler!K156="critical",10, IF(Prowler!K156="high",7, IF(Prowler!K156="medium",5, 1)))</f>
        <v>1</v>
      </c>
      <c r="M156" s="3" t="n">
        <f aca="false">Prowler!A156</f>
        <v>0</v>
      </c>
      <c r="O156" s="4" t="str">
        <f aca="false">IF(Prowler!N156="", "", _xlfn.CONCAT("[{""key"":""",SUBSTITUTE(SUBSTITUTE(Prowler!N156,"=",""",""value"":""")," | ","""},{""key"":"""),"""}]"))</f>
        <v/>
      </c>
    </row>
    <row r="157" customFormat="false" ht="135.45" hidden="false" customHeight="false" outlineLevel="0" collapsed="false">
      <c r="B157" s="1" t="str">
        <f aca="false">UPPER(Prowler!C157)</f>
        <v/>
      </c>
      <c r="C157" s="1" t="str">
        <f aca="false">IF(Prowler!AL157&lt;&gt;"",Prowler!AL157, _xlfn.CONCAT("arn:aws:ec2:",F157,":",Prowler!AD157,":instance/",Prowler!AK157))</f>
        <v>arn:aws:ec2:::instance/</v>
      </c>
      <c r="F157" s="1" t="n">
        <f aca="false">Prowler!AJ157</f>
        <v>0</v>
      </c>
      <c r="G157" s="1" t="n">
        <f aca="false">Prowler!E157</f>
        <v>0</v>
      </c>
      <c r="H157" s="4" t="str">
        <f aca="false">_xlfn.TEXTJOIN(CHAR(10),1, Prowler!O157:Q157)</f>
        <v/>
      </c>
      <c r="I157" s="4" t="str">
        <f aca="false">_xlfn.TEXTJOIN(CHAR(10),1, Prowler!R157:W157)</f>
        <v/>
      </c>
      <c r="J157" s="1" t="n">
        <f aca="false">IF(Prowler!K157="critical",10, IF(Prowler!K157="high",7, IF(Prowler!K157="medium",5, 1)))</f>
        <v>1</v>
      </c>
      <c r="M157" s="3" t="n">
        <f aca="false">Prowler!A157</f>
        <v>0</v>
      </c>
      <c r="O157" s="4" t="str">
        <f aca="false">IF(Prowler!N157="", "", _xlfn.CONCAT("[{""key"":""",SUBSTITUTE(SUBSTITUTE(Prowler!N157,"=",""",""value"":""")," | ","""},{""key"":"""),"""}]"))</f>
        <v/>
      </c>
    </row>
    <row r="158" customFormat="false" ht="135.45" hidden="false" customHeight="false" outlineLevel="0" collapsed="false">
      <c r="B158" s="1" t="str">
        <f aca="false">UPPER(Prowler!C158)</f>
        <v/>
      </c>
      <c r="C158" s="1" t="str">
        <f aca="false">IF(Prowler!AL158&lt;&gt;"",Prowler!AL158, _xlfn.CONCAT("arn:aws:ec2:",F158,":",Prowler!AD158,":instance/",Prowler!AK158))</f>
        <v>arn:aws:ec2:::instance/</v>
      </c>
      <c r="F158" s="1" t="n">
        <f aca="false">Prowler!AJ158</f>
        <v>0</v>
      </c>
      <c r="G158" s="1" t="n">
        <f aca="false">Prowler!E158</f>
        <v>0</v>
      </c>
      <c r="H158" s="4" t="str">
        <f aca="false">_xlfn.TEXTJOIN(CHAR(10),1, Prowler!O158:Q158)</f>
        <v/>
      </c>
      <c r="I158" s="4" t="str">
        <f aca="false">_xlfn.TEXTJOIN(CHAR(10),1, Prowler!R158:W158)</f>
        <v/>
      </c>
      <c r="J158" s="1" t="n">
        <f aca="false">IF(Prowler!K158="critical",10, IF(Prowler!K158="high",7, IF(Prowler!K158="medium",5, 1)))</f>
        <v>1</v>
      </c>
      <c r="M158" s="3" t="n">
        <f aca="false">Prowler!A158</f>
        <v>0</v>
      </c>
      <c r="O158" s="4" t="str">
        <f aca="false">IF(Prowler!N158="", "", _xlfn.CONCAT("[{""key"":""",SUBSTITUTE(SUBSTITUTE(Prowler!N158,"=",""",""value"":""")," | ","""},{""key"":"""),"""}]"))</f>
        <v/>
      </c>
    </row>
    <row r="159" customFormat="false" ht="135.45" hidden="false" customHeight="false" outlineLevel="0" collapsed="false">
      <c r="B159" s="1" t="str">
        <f aca="false">UPPER(Prowler!C159)</f>
        <v/>
      </c>
      <c r="C159" s="1" t="str">
        <f aca="false">IF(Prowler!AL159&lt;&gt;"",Prowler!AL159, _xlfn.CONCAT("arn:aws:ec2:",F159,":",Prowler!AD159,":instance/",Prowler!AK159))</f>
        <v>arn:aws:ec2:::instance/</v>
      </c>
      <c r="F159" s="1" t="n">
        <f aca="false">Prowler!AJ159</f>
        <v>0</v>
      </c>
      <c r="G159" s="1" t="n">
        <f aca="false">Prowler!E159</f>
        <v>0</v>
      </c>
      <c r="H159" s="4" t="str">
        <f aca="false">_xlfn.TEXTJOIN(CHAR(10),1, Prowler!O159:Q159)</f>
        <v/>
      </c>
      <c r="I159" s="4" t="str">
        <f aca="false">_xlfn.TEXTJOIN(CHAR(10),1, Prowler!R159:W159)</f>
        <v/>
      </c>
      <c r="J159" s="1" t="n">
        <f aca="false">IF(Prowler!K159="critical",10, IF(Prowler!K159="high",7, IF(Prowler!K159="medium",5, 1)))</f>
        <v>1</v>
      </c>
      <c r="M159" s="3" t="n">
        <f aca="false">Prowler!A159</f>
        <v>0</v>
      </c>
      <c r="O159" s="4" t="str">
        <f aca="false">IF(Prowler!N159="", "", _xlfn.CONCAT("[{""key"":""",SUBSTITUTE(SUBSTITUTE(Prowler!N159,"=",""",""value"":""")," | ","""},{""key"":"""),"""}]"))</f>
        <v/>
      </c>
    </row>
    <row r="160" customFormat="false" ht="135.45" hidden="false" customHeight="false" outlineLevel="0" collapsed="false">
      <c r="B160" s="1" t="str">
        <f aca="false">UPPER(Prowler!C160)</f>
        <v/>
      </c>
      <c r="C160" s="1" t="str">
        <f aca="false">IF(Prowler!AL160&lt;&gt;"",Prowler!AL160, _xlfn.CONCAT("arn:aws:ec2:",F160,":",Prowler!AD160,":instance/",Prowler!AK160))</f>
        <v>arn:aws:ec2:::instance/</v>
      </c>
      <c r="F160" s="1" t="n">
        <f aca="false">Prowler!AJ160</f>
        <v>0</v>
      </c>
      <c r="G160" s="1" t="n">
        <f aca="false">Prowler!E160</f>
        <v>0</v>
      </c>
      <c r="H160" s="4" t="str">
        <f aca="false">_xlfn.TEXTJOIN(CHAR(10),1, Prowler!O160:Q160)</f>
        <v/>
      </c>
      <c r="I160" s="4" t="str">
        <f aca="false">_xlfn.TEXTJOIN(CHAR(10),1, Prowler!R160:W160)</f>
        <v/>
      </c>
      <c r="J160" s="1" t="n">
        <f aca="false">IF(Prowler!K160="critical",10, IF(Prowler!K160="high",7, IF(Prowler!K160="medium",5, 1)))</f>
        <v>1</v>
      </c>
      <c r="M160" s="3" t="n">
        <f aca="false">Prowler!A160</f>
        <v>0</v>
      </c>
      <c r="O160" s="4" t="str">
        <f aca="false">IF(Prowler!N160="", "", _xlfn.CONCAT("[{""key"":""",SUBSTITUTE(SUBSTITUTE(Prowler!N160,"=",""",""value"":""")," | ","""},{""key"":"""),"""}]"))</f>
        <v/>
      </c>
    </row>
    <row r="161" customFormat="false" ht="135.45" hidden="false" customHeight="false" outlineLevel="0" collapsed="false">
      <c r="B161" s="1" t="str">
        <f aca="false">UPPER(Prowler!C161)</f>
        <v/>
      </c>
      <c r="C161" s="1" t="str">
        <f aca="false">IF(Prowler!AL161&lt;&gt;"",Prowler!AL161, _xlfn.CONCAT("arn:aws:ec2:",F161,":",Prowler!AD161,":instance/",Prowler!AK161))</f>
        <v>arn:aws:ec2:::instance/</v>
      </c>
      <c r="F161" s="1" t="n">
        <f aca="false">Prowler!AJ161</f>
        <v>0</v>
      </c>
      <c r="G161" s="1" t="n">
        <f aca="false">Prowler!E161</f>
        <v>0</v>
      </c>
      <c r="H161" s="4" t="str">
        <f aca="false">_xlfn.TEXTJOIN(CHAR(10),1, Prowler!O161:Q161)</f>
        <v/>
      </c>
      <c r="I161" s="4" t="str">
        <f aca="false">_xlfn.TEXTJOIN(CHAR(10),1, Prowler!R161:W161)</f>
        <v/>
      </c>
      <c r="J161" s="1" t="n">
        <f aca="false">IF(Prowler!K161="critical",10, IF(Prowler!K161="high",7, IF(Prowler!K161="medium",5, 1)))</f>
        <v>1</v>
      </c>
      <c r="M161" s="3" t="n">
        <f aca="false">Prowler!A161</f>
        <v>0</v>
      </c>
      <c r="O161" s="4" t="str">
        <f aca="false">IF(Prowler!N161="", "", _xlfn.CONCAT("[{""key"":""",SUBSTITUTE(SUBSTITUTE(Prowler!N161,"=",""",""value"":""")," | ","""},{""key"":"""),"""}]"))</f>
        <v/>
      </c>
    </row>
    <row r="162" customFormat="false" ht="135.45" hidden="false" customHeight="false" outlineLevel="0" collapsed="false">
      <c r="B162" s="1" t="str">
        <f aca="false">UPPER(Prowler!C162)</f>
        <v/>
      </c>
      <c r="C162" s="1" t="str">
        <f aca="false">IF(Prowler!AL162&lt;&gt;"",Prowler!AL162, _xlfn.CONCAT("arn:aws:ec2:",F162,":",Prowler!AD162,":instance/",Prowler!AK162))</f>
        <v>arn:aws:ec2:::instance/</v>
      </c>
      <c r="F162" s="1" t="n">
        <f aca="false">Prowler!AJ162</f>
        <v>0</v>
      </c>
      <c r="G162" s="1" t="n">
        <f aca="false">Prowler!E162</f>
        <v>0</v>
      </c>
      <c r="H162" s="4" t="str">
        <f aca="false">_xlfn.TEXTJOIN(CHAR(10),1, Prowler!O162:Q162)</f>
        <v/>
      </c>
      <c r="I162" s="4" t="str">
        <f aca="false">_xlfn.TEXTJOIN(CHAR(10),1, Prowler!R162:W162)</f>
        <v/>
      </c>
      <c r="J162" s="1" t="n">
        <f aca="false">IF(Prowler!K162="critical",10, IF(Prowler!K162="high",7, IF(Prowler!K162="medium",5, 1)))</f>
        <v>1</v>
      </c>
      <c r="M162" s="3" t="n">
        <f aca="false">Prowler!A162</f>
        <v>0</v>
      </c>
      <c r="O162" s="4" t="str">
        <f aca="false">IF(Prowler!N162="", "", _xlfn.CONCAT("[{""key"":""",SUBSTITUTE(SUBSTITUTE(Prowler!N162,"=",""",""value"":""")," | ","""},{""key"":"""),"""}]"))</f>
        <v/>
      </c>
    </row>
    <row r="163" customFormat="false" ht="135.45" hidden="false" customHeight="false" outlineLevel="0" collapsed="false">
      <c r="B163" s="1" t="str">
        <f aca="false">UPPER(Prowler!C163)</f>
        <v/>
      </c>
      <c r="C163" s="1" t="str">
        <f aca="false">IF(Prowler!AL163&lt;&gt;"",Prowler!AL163, _xlfn.CONCAT("arn:aws:ec2:",F163,":",Prowler!AD163,":instance/",Prowler!AK163))</f>
        <v>arn:aws:ec2:::instance/</v>
      </c>
      <c r="F163" s="1" t="n">
        <f aca="false">Prowler!AJ163</f>
        <v>0</v>
      </c>
      <c r="G163" s="1" t="n">
        <f aca="false">Prowler!E163</f>
        <v>0</v>
      </c>
      <c r="H163" s="4" t="str">
        <f aca="false">_xlfn.TEXTJOIN(CHAR(10),1, Prowler!O163:Q163)</f>
        <v/>
      </c>
      <c r="I163" s="4" t="str">
        <f aca="false">_xlfn.TEXTJOIN(CHAR(10),1, Prowler!R163:W163)</f>
        <v/>
      </c>
      <c r="J163" s="1" t="n">
        <f aca="false">IF(Prowler!K163="critical",10, IF(Prowler!K163="high",7, IF(Prowler!K163="medium",5, 1)))</f>
        <v>1</v>
      </c>
      <c r="M163" s="3" t="n">
        <f aca="false">Prowler!A163</f>
        <v>0</v>
      </c>
      <c r="O163" s="4" t="str">
        <f aca="false">IF(Prowler!N163="", "", _xlfn.CONCAT("[{""key"":""",SUBSTITUTE(SUBSTITUTE(Prowler!N163,"=",""",""value"":""")," | ","""},{""key"":"""),"""}]"))</f>
        <v/>
      </c>
    </row>
    <row r="164" customFormat="false" ht="135.45" hidden="false" customHeight="false" outlineLevel="0" collapsed="false">
      <c r="B164" s="1" t="str">
        <f aca="false">UPPER(Prowler!C164)</f>
        <v/>
      </c>
      <c r="C164" s="1" t="str">
        <f aca="false">IF(Prowler!AL164&lt;&gt;"",Prowler!AL164, _xlfn.CONCAT("arn:aws:ec2:",F164,":",Prowler!AD164,":instance/",Prowler!AK164))</f>
        <v>arn:aws:ec2:::instance/</v>
      </c>
      <c r="F164" s="1" t="n">
        <f aca="false">Prowler!AJ164</f>
        <v>0</v>
      </c>
      <c r="G164" s="1" t="n">
        <f aca="false">Prowler!E164</f>
        <v>0</v>
      </c>
      <c r="H164" s="4" t="str">
        <f aca="false">_xlfn.TEXTJOIN(CHAR(10),1, Prowler!O164:Q164)</f>
        <v/>
      </c>
      <c r="I164" s="4" t="str">
        <f aca="false">_xlfn.TEXTJOIN(CHAR(10),1, Prowler!R164:W164)</f>
        <v/>
      </c>
      <c r="J164" s="1" t="n">
        <f aca="false">IF(Prowler!K164="critical",10, IF(Prowler!K164="high",7, IF(Prowler!K164="medium",5, 1)))</f>
        <v>1</v>
      </c>
      <c r="M164" s="3" t="n">
        <f aca="false">Prowler!A164</f>
        <v>0</v>
      </c>
      <c r="O164" s="4" t="str">
        <f aca="false">IF(Prowler!N164="", "", _xlfn.CONCAT("[{""key"":""",SUBSTITUTE(SUBSTITUTE(Prowler!N164,"=",""",""value"":""")," | ","""},{""key"":"""),"""}]"))</f>
        <v/>
      </c>
    </row>
    <row r="165" customFormat="false" ht="135.45" hidden="false" customHeight="false" outlineLevel="0" collapsed="false">
      <c r="B165" s="1" t="str">
        <f aca="false">UPPER(Prowler!C165)</f>
        <v/>
      </c>
      <c r="C165" s="1" t="str">
        <f aca="false">IF(Prowler!AL165&lt;&gt;"",Prowler!AL165, _xlfn.CONCAT("arn:aws:ec2:",F165,":",Prowler!AD165,":instance/",Prowler!AK165))</f>
        <v>arn:aws:ec2:::instance/</v>
      </c>
      <c r="F165" s="1" t="n">
        <f aca="false">Prowler!AJ165</f>
        <v>0</v>
      </c>
      <c r="G165" s="1" t="n">
        <f aca="false">Prowler!E165</f>
        <v>0</v>
      </c>
      <c r="H165" s="4" t="str">
        <f aca="false">_xlfn.TEXTJOIN(CHAR(10),1, Prowler!O165:Q165)</f>
        <v/>
      </c>
      <c r="I165" s="4" t="str">
        <f aca="false">_xlfn.TEXTJOIN(CHAR(10),1, Prowler!R165:W165)</f>
        <v/>
      </c>
      <c r="J165" s="1" t="n">
        <f aca="false">IF(Prowler!K165="critical",10, IF(Prowler!K165="high",7, IF(Prowler!K165="medium",5, 1)))</f>
        <v>1</v>
      </c>
      <c r="M165" s="3" t="n">
        <f aca="false">Prowler!A165</f>
        <v>0</v>
      </c>
      <c r="O165" s="4" t="str">
        <f aca="false">IF(Prowler!N165="", "", _xlfn.CONCAT("[{""key"":""",SUBSTITUTE(SUBSTITUTE(Prowler!N165,"=",""",""value"":""")," | ","""},{""key"":"""),"""}]"))</f>
        <v/>
      </c>
    </row>
    <row r="166" customFormat="false" ht="135.45" hidden="false" customHeight="false" outlineLevel="0" collapsed="false">
      <c r="B166" s="1" t="str">
        <f aca="false">UPPER(Prowler!C166)</f>
        <v/>
      </c>
      <c r="C166" s="1" t="str">
        <f aca="false">IF(Prowler!AL166&lt;&gt;"",Prowler!AL166, _xlfn.CONCAT("arn:aws:ec2:",F166,":",Prowler!AD166,":instance/",Prowler!AK166))</f>
        <v>arn:aws:ec2:::instance/</v>
      </c>
      <c r="F166" s="1" t="n">
        <f aca="false">Prowler!AJ166</f>
        <v>0</v>
      </c>
      <c r="G166" s="1" t="n">
        <f aca="false">Prowler!E166</f>
        <v>0</v>
      </c>
      <c r="H166" s="4" t="str">
        <f aca="false">_xlfn.TEXTJOIN(CHAR(10),1, Prowler!O166:Q166)</f>
        <v/>
      </c>
      <c r="I166" s="4" t="str">
        <f aca="false">_xlfn.TEXTJOIN(CHAR(10),1, Prowler!R166:W166)</f>
        <v/>
      </c>
      <c r="J166" s="1" t="n">
        <f aca="false">IF(Prowler!K166="critical",10, IF(Prowler!K166="high",7, IF(Prowler!K166="medium",5, 1)))</f>
        <v>1</v>
      </c>
      <c r="M166" s="3" t="n">
        <f aca="false">Prowler!A166</f>
        <v>0</v>
      </c>
      <c r="O166" s="4" t="str">
        <f aca="false">IF(Prowler!N166="", "", _xlfn.CONCAT("[{""key"":""",SUBSTITUTE(SUBSTITUTE(Prowler!N166,"=",""",""value"":""")," | ","""},{""key"":"""),"""}]"))</f>
        <v/>
      </c>
    </row>
    <row r="167" customFormat="false" ht="135.45" hidden="false" customHeight="false" outlineLevel="0" collapsed="false">
      <c r="B167" s="1" t="str">
        <f aca="false">UPPER(Prowler!C167)</f>
        <v/>
      </c>
      <c r="C167" s="1" t="str">
        <f aca="false">IF(Prowler!AL167&lt;&gt;"",Prowler!AL167, _xlfn.CONCAT("arn:aws:ec2:",F167,":",Prowler!AD167,":instance/",Prowler!AK167))</f>
        <v>arn:aws:ec2:::instance/</v>
      </c>
      <c r="F167" s="1" t="n">
        <f aca="false">Prowler!AJ167</f>
        <v>0</v>
      </c>
      <c r="G167" s="1" t="n">
        <f aca="false">Prowler!E167</f>
        <v>0</v>
      </c>
      <c r="H167" s="4" t="str">
        <f aca="false">_xlfn.TEXTJOIN(CHAR(10),1, Prowler!O167:Q167)</f>
        <v/>
      </c>
      <c r="I167" s="4" t="str">
        <f aca="false">_xlfn.TEXTJOIN(CHAR(10),1, Prowler!R167:W167)</f>
        <v/>
      </c>
      <c r="J167" s="1" t="n">
        <f aca="false">IF(Prowler!K167="critical",10, IF(Prowler!K167="high",7, IF(Prowler!K167="medium",5, 1)))</f>
        <v>1</v>
      </c>
      <c r="M167" s="3" t="n">
        <f aca="false">Prowler!A167</f>
        <v>0</v>
      </c>
      <c r="O167" s="4" t="str">
        <f aca="false">IF(Prowler!N167="", "", _xlfn.CONCAT("[{""key"":""",SUBSTITUTE(SUBSTITUTE(Prowler!N167,"=",""",""value"":""")," | ","""},{""key"":"""),"""}]"))</f>
        <v/>
      </c>
    </row>
    <row r="168" customFormat="false" ht="135.45" hidden="false" customHeight="false" outlineLevel="0" collapsed="false">
      <c r="B168" s="1" t="str">
        <f aca="false">UPPER(Prowler!C168)</f>
        <v/>
      </c>
      <c r="C168" s="1" t="str">
        <f aca="false">IF(Prowler!AL168&lt;&gt;"",Prowler!AL168, _xlfn.CONCAT("arn:aws:ec2:",F168,":",Prowler!AD168,":instance/",Prowler!AK168))</f>
        <v>arn:aws:ec2:::instance/</v>
      </c>
      <c r="F168" s="1" t="n">
        <f aca="false">Prowler!AJ168</f>
        <v>0</v>
      </c>
      <c r="G168" s="1" t="n">
        <f aca="false">Prowler!E168</f>
        <v>0</v>
      </c>
      <c r="H168" s="4" t="str">
        <f aca="false">_xlfn.TEXTJOIN(CHAR(10),1, Prowler!O168:Q168)</f>
        <v/>
      </c>
      <c r="I168" s="4" t="str">
        <f aca="false">_xlfn.TEXTJOIN(CHAR(10),1, Prowler!R168:W168)</f>
        <v/>
      </c>
      <c r="J168" s="1" t="n">
        <f aca="false">IF(Prowler!K168="critical",10, IF(Prowler!K168="high",7, IF(Prowler!K168="medium",5, 1)))</f>
        <v>1</v>
      </c>
      <c r="M168" s="3" t="n">
        <f aca="false">Prowler!A168</f>
        <v>0</v>
      </c>
      <c r="O168" s="4" t="str">
        <f aca="false">IF(Prowler!N168="", "", _xlfn.CONCAT("[{""key"":""",SUBSTITUTE(SUBSTITUTE(Prowler!N168,"=",""",""value"":""")," | ","""},{""key"":"""),"""}]"))</f>
        <v/>
      </c>
    </row>
    <row r="169" customFormat="false" ht="135.45" hidden="false" customHeight="false" outlineLevel="0" collapsed="false">
      <c r="B169" s="1" t="str">
        <f aca="false">UPPER(Prowler!C169)</f>
        <v/>
      </c>
      <c r="C169" s="1" t="str">
        <f aca="false">IF(Prowler!AL169&lt;&gt;"",Prowler!AL169, _xlfn.CONCAT("arn:aws:ec2:",F169,":",Prowler!AD169,":instance/",Prowler!AK169))</f>
        <v>arn:aws:ec2:::instance/</v>
      </c>
      <c r="F169" s="1" t="n">
        <f aca="false">Prowler!AJ169</f>
        <v>0</v>
      </c>
      <c r="G169" s="1" t="n">
        <f aca="false">Prowler!E169</f>
        <v>0</v>
      </c>
      <c r="H169" s="4" t="str">
        <f aca="false">_xlfn.TEXTJOIN(CHAR(10),1, Prowler!O169:Q169)</f>
        <v/>
      </c>
      <c r="I169" s="4" t="str">
        <f aca="false">_xlfn.TEXTJOIN(CHAR(10),1, Prowler!R169:W169)</f>
        <v/>
      </c>
      <c r="J169" s="1" t="n">
        <f aca="false">IF(Prowler!K169="critical",10, IF(Prowler!K169="high",7, IF(Prowler!K169="medium",5, 1)))</f>
        <v>1</v>
      </c>
      <c r="M169" s="3" t="n">
        <f aca="false">Prowler!A169</f>
        <v>0</v>
      </c>
      <c r="O169" s="4" t="str">
        <f aca="false">IF(Prowler!N169="", "", _xlfn.CONCAT("[{""key"":""",SUBSTITUTE(SUBSTITUTE(Prowler!N169,"=",""",""value"":""")," | ","""},{""key"":"""),"""}]"))</f>
        <v/>
      </c>
    </row>
    <row r="170" customFormat="false" ht="135.45" hidden="false" customHeight="false" outlineLevel="0" collapsed="false">
      <c r="B170" s="1" t="str">
        <f aca="false">UPPER(Prowler!C170)</f>
        <v/>
      </c>
      <c r="C170" s="1" t="str">
        <f aca="false">IF(Prowler!AL170&lt;&gt;"",Prowler!AL170, _xlfn.CONCAT("arn:aws:ec2:",F170,":",Prowler!AD170,":instance/",Prowler!AK170))</f>
        <v>arn:aws:ec2:::instance/</v>
      </c>
      <c r="F170" s="1" t="n">
        <f aca="false">Prowler!AJ170</f>
        <v>0</v>
      </c>
      <c r="G170" s="1" t="n">
        <f aca="false">Prowler!E170</f>
        <v>0</v>
      </c>
      <c r="H170" s="4" t="str">
        <f aca="false">_xlfn.TEXTJOIN(CHAR(10),1, Prowler!O170:Q170)</f>
        <v/>
      </c>
      <c r="I170" s="4" t="str">
        <f aca="false">_xlfn.TEXTJOIN(CHAR(10),1, Prowler!R170:W170)</f>
        <v/>
      </c>
      <c r="J170" s="1" t="n">
        <f aca="false">IF(Prowler!K170="critical",10, IF(Prowler!K170="high",7, IF(Prowler!K170="medium",5, 1)))</f>
        <v>1</v>
      </c>
      <c r="M170" s="3" t="n">
        <f aca="false">Prowler!A170</f>
        <v>0</v>
      </c>
      <c r="O170" s="4" t="str">
        <f aca="false">IF(Prowler!N170="", "", _xlfn.CONCAT("[{""key"":""",SUBSTITUTE(SUBSTITUTE(Prowler!N170,"=",""",""value"":""")," | ","""},{""key"":"""),"""}]"))</f>
        <v/>
      </c>
    </row>
    <row r="171" customFormat="false" ht="135.45" hidden="false" customHeight="false" outlineLevel="0" collapsed="false">
      <c r="B171" s="1" t="str">
        <f aca="false">UPPER(Prowler!C171)</f>
        <v/>
      </c>
      <c r="C171" s="1" t="str">
        <f aca="false">IF(Prowler!AL171&lt;&gt;"",Prowler!AL171, _xlfn.CONCAT("arn:aws:ec2:",F171,":",Prowler!AD171,":instance/",Prowler!AK171))</f>
        <v>arn:aws:ec2:::instance/</v>
      </c>
      <c r="F171" s="1" t="n">
        <f aca="false">Prowler!AJ171</f>
        <v>0</v>
      </c>
      <c r="G171" s="1" t="n">
        <f aca="false">Prowler!E171</f>
        <v>0</v>
      </c>
      <c r="H171" s="4" t="str">
        <f aca="false">_xlfn.TEXTJOIN(CHAR(10),1, Prowler!O171:Q171)</f>
        <v/>
      </c>
      <c r="I171" s="4" t="str">
        <f aca="false">_xlfn.TEXTJOIN(CHAR(10),1, Prowler!R171:W171)</f>
        <v/>
      </c>
      <c r="J171" s="1" t="n">
        <f aca="false">IF(Prowler!K171="critical",10, IF(Prowler!K171="high",7, IF(Prowler!K171="medium",5, 1)))</f>
        <v>1</v>
      </c>
      <c r="M171" s="3" t="n">
        <f aca="false">Prowler!A171</f>
        <v>0</v>
      </c>
      <c r="O171" s="4" t="str">
        <f aca="false">IF(Prowler!N171="", "", _xlfn.CONCAT("[{""key"":""",SUBSTITUTE(SUBSTITUTE(Prowler!N171,"=",""",""value"":""")," | ","""},{""key"":"""),"""}]"))</f>
        <v/>
      </c>
    </row>
    <row r="172" customFormat="false" ht="135.45" hidden="false" customHeight="false" outlineLevel="0" collapsed="false">
      <c r="B172" s="1" t="str">
        <f aca="false">UPPER(Prowler!C172)</f>
        <v/>
      </c>
      <c r="C172" s="1" t="str">
        <f aca="false">IF(Prowler!AL172&lt;&gt;"",Prowler!AL172, _xlfn.CONCAT("arn:aws:ec2:",F172,":",Prowler!AD172,":instance/",Prowler!AK172))</f>
        <v>arn:aws:ec2:::instance/</v>
      </c>
      <c r="F172" s="1" t="n">
        <f aca="false">Prowler!AJ172</f>
        <v>0</v>
      </c>
      <c r="G172" s="1" t="n">
        <f aca="false">Prowler!E172</f>
        <v>0</v>
      </c>
      <c r="H172" s="4" t="str">
        <f aca="false">_xlfn.TEXTJOIN(CHAR(10),1, Prowler!O172:Q172)</f>
        <v/>
      </c>
      <c r="I172" s="4" t="str">
        <f aca="false">_xlfn.TEXTJOIN(CHAR(10),1, Prowler!R172:W172)</f>
        <v/>
      </c>
      <c r="J172" s="1" t="n">
        <f aca="false">IF(Prowler!K172="critical",10, IF(Prowler!K172="high",7, IF(Prowler!K172="medium",5, 1)))</f>
        <v>1</v>
      </c>
      <c r="M172" s="3" t="n">
        <f aca="false">Prowler!A172</f>
        <v>0</v>
      </c>
      <c r="O172" s="4" t="str">
        <f aca="false">IF(Prowler!N172="", "", _xlfn.CONCAT("[{""key"":""",SUBSTITUTE(SUBSTITUTE(Prowler!N172,"=",""",""value"":""")," | ","""},{""key"":"""),"""}]"))</f>
        <v/>
      </c>
    </row>
    <row r="173" customFormat="false" ht="135.45" hidden="false" customHeight="false" outlineLevel="0" collapsed="false">
      <c r="B173" s="1" t="str">
        <f aca="false">UPPER(Prowler!C173)</f>
        <v/>
      </c>
      <c r="C173" s="1" t="str">
        <f aca="false">IF(Prowler!AL173&lt;&gt;"",Prowler!AL173, _xlfn.CONCAT("arn:aws:ec2:",F173,":",Prowler!AD173,":instance/",Prowler!AK173))</f>
        <v>arn:aws:ec2:::instance/</v>
      </c>
      <c r="F173" s="1" t="n">
        <f aca="false">Prowler!AJ173</f>
        <v>0</v>
      </c>
      <c r="G173" s="1" t="n">
        <f aca="false">Prowler!E173</f>
        <v>0</v>
      </c>
      <c r="H173" s="4" t="str">
        <f aca="false">_xlfn.TEXTJOIN(CHAR(10),1, Prowler!O173:Q173)</f>
        <v/>
      </c>
      <c r="I173" s="4" t="str">
        <f aca="false">_xlfn.TEXTJOIN(CHAR(10),1, Prowler!R173:W173)</f>
        <v/>
      </c>
      <c r="J173" s="1" t="n">
        <f aca="false">IF(Prowler!K173="critical",10, IF(Prowler!K173="high",7, IF(Prowler!K173="medium",5, 1)))</f>
        <v>1</v>
      </c>
      <c r="M173" s="3" t="n">
        <f aca="false">Prowler!A173</f>
        <v>0</v>
      </c>
      <c r="O173" s="4" t="str">
        <f aca="false">IF(Prowler!N173="", "", _xlfn.CONCAT("[{""key"":""",SUBSTITUTE(SUBSTITUTE(Prowler!N173,"=",""",""value"":""")," | ","""},{""key"":"""),"""}]"))</f>
        <v/>
      </c>
    </row>
    <row r="174" customFormat="false" ht="135.45" hidden="false" customHeight="false" outlineLevel="0" collapsed="false">
      <c r="B174" s="1" t="str">
        <f aca="false">UPPER(Prowler!C174)</f>
        <v/>
      </c>
      <c r="C174" s="1" t="str">
        <f aca="false">IF(Prowler!AL174&lt;&gt;"",Prowler!AL174, _xlfn.CONCAT("arn:aws:ec2:",F174,":",Prowler!AD174,":instance/",Prowler!AK174))</f>
        <v>arn:aws:ec2:::instance/</v>
      </c>
      <c r="F174" s="1" t="n">
        <f aca="false">Prowler!AJ174</f>
        <v>0</v>
      </c>
      <c r="G174" s="1" t="n">
        <f aca="false">Prowler!E174</f>
        <v>0</v>
      </c>
      <c r="H174" s="4" t="str">
        <f aca="false">_xlfn.TEXTJOIN(CHAR(10),1, Prowler!O174:Q174)</f>
        <v/>
      </c>
      <c r="I174" s="4" t="str">
        <f aca="false">_xlfn.TEXTJOIN(CHAR(10),1, Prowler!R174:W174)</f>
        <v/>
      </c>
      <c r="J174" s="1" t="n">
        <f aca="false">IF(Prowler!K174="critical",10, IF(Prowler!K174="high",7, IF(Prowler!K174="medium",5, 1)))</f>
        <v>1</v>
      </c>
      <c r="M174" s="3" t="n">
        <f aca="false">Prowler!A174</f>
        <v>0</v>
      </c>
      <c r="O174" s="4" t="str">
        <f aca="false">IF(Prowler!N174="", "", _xlfn.CONCAT("[{""key"":""",SUBSTITUTE(SUBSTITUTE(Prowler!N174,"=",""",""value"":""")," | ","""},{""key"":"""),"""}]"))</f>
        <v/>
      </c>
    </row>
    <row r="175" customFormat="false" ht="135.45" hidden="false" customHeight="false" outlineLevel="0" collapsed="false">
      <c r="B175" s="1" t="str">
        <f aca="false">UPPER(Prowler!C175)</f>
        <v/>
      </c>
      <c r="C175" s="1" t="str">
        <f aca="false">IF(Prowler!AL175&lt;&gt;"",Prowler!AL175, _xlfn.CONCAT("arn:aws:ec2:",F175,":",Prowler!AD175,":instance/",Prowler!AK175))</f>
        <v>arn:aws:ec2:::instance/</v>
      </c>
      <c r="F175" s="1" t="n">
        <f aca="false">Prowler!AJ175</f>
        <v>0</v>
      </c>
      <c r="G175" s="1" t="n">
        <f aca="false">Prowler!E175</f>
        <v>0</v>
      </c>
      <c r="H175" s="4" t="str">
        <f aca="false">_xlfn.TEXTJOIN(CHAR(10),1, Prowler!O175:Q175)</f>
        <v/>
      </c>
      <c r="I175" s="4" t="str">
        <f aca="false">_xlfn.TEXTJOIN(CHAR(10),1, Prowler!R175:W175)</f>
        <v/>
      </c>
      <c r="J175" s="1" t="n">
        <f aca="false">IF(Prowler!K175="critical",10, IF(Prowler!K175="high",7, IF(Prowler!K175="medium",5, 1)))</f>
        <v>1</v>
      </c>
      <c r="M175" s="3" t="n">
        <f aca="false">Prowler!A175</f>
        <v>0</v>
      </c>
      <c r="O175" s="4" t="str">
        <f aca="false">IF(Prowler!N175="", "", _xlfn.CONCAT("[{""key"":""",SUBSTITUTE(SUBSTITUTE(Prowler!N175,"=",""",""value"":""")," | ","""},{""key"":"""),"""}]"))</f>
        <v/>
      </c>
    </row>
    <row r="176" customFormat="false" ht="135.45" hidden="false" customHeight="false" outlineLevel="0" collapsed="false">
      <c r="B176" s="1" t="str">
        <f aca="false">UPPER(Prowler!C176)</f>
        <v/>
      </c>
      <c r="C176" s="1" t="str">
        <f aca="false">IF(Prowler!AL176&lt;&gt;"",Prowler!AL176, _xlfn.CONCAT("arn:aws:ec2:",F176,":",Prowler!AD176,":instance/",Prowler!AK176))</f>
        <v>arn:aws:ec2:::instance/</v>
      </c>
      <c r="F176" s="1" t="n">
        <f aca="false">Prowler!AJ176</f>
        <v>0</v>
      </c>
      <c r="G176" s="1" t="n">
        <f aca="false">Prowler!E176</f>
        <v>0</v>
      </c>
      <c r="H176" s="4" t="str">
        <f aca="false">_xlfn.TEXTJOIN(CHAR(10),1, Prowler!O176:Q176)</f>
        <v/>
      </c>
      <c r="I176" s="4" t="str">
        <f aca="false">_xlfn.TEXTJOIN(CHAR(10),1, Prowler!R176:W176)</f>
        <v/>
      </c>
      <c r="J176" s="1" t="n">
        <f aca="false">IF(Prowler!K176="critical",10, IF(Prowler!K176="high",7, IF(Prowler!K176="medium",5, 1)))</f>
        <v>1</v>
      </c>
      <c r="M176" s="3" t="n">
        <f aca="false">Prowler!A176</f>
        <v>0</v>
      </c>
      <c r="O176" s="4" t="str">
        <f aca="false">IF(Prowler!N176="", "", _xlfn.CONCAT("[{""key"":""",SUBSTITUTE(SUBSTITUTE(Prowler!N176,"=",""",""value"":""")," | ","""},{""key"":"""),"""}]"))</f>
        <v/>
      </c>
    </row>
    <row r="177" customFormat="false" ht="135.45" hidden="false" customHeight="false" outlineLevel="0" collapsed="false">
      <c r="B177" s="1" t="str">
        <f aca="false">UPPER(Prowler!C177)</f>
        <v/>
      </c>
      <c r="C177" s="1" t="str">
        <f aca="false">IF(Prowler!AL177&lt;&gt;"",Prowler!AL177, _xlfn.CONCAT("arn:aws:ec2:",F177,":",Prowler!AD177,":instance/",Prowler!AK177))</f>
        <v>arn:aws:ec2:::instance/</v>
      </c>
      <c r="F177" s="1" t="n">
        <f aca="false">Prowler!AJ177</f>
        <v>0</v>
      </c>
      <c r="G177" s="1" t="n">
        <f aca="false">Prowler!E177</f>
        <v>0</v>
      </c>
      <c r="H177" s="4" t="str">
        <f aca="false">_xlfn.TEXTJOIN(CHAR(10),1, Prowler!O177:Q177)</f>
        <v/>
      </c>
      <c r="I177" s="4" t="str">
        <f aca="false">_xlfn.TEXTJOIN(CHAR(10),1, Prowler!R177:W177)</f>
        <v/>
      </c>
      <c r="J177" s="1" t="n">
        <f aca="false">IF(Prowler!K177="critical",10, IF(Prowler!K177="high",7, IF(Prowler!K177="medium",5, 1)))</f>
        <v>1</v>
      </c>
      <c r="M177" s="3" t="n">
        <f aca="false">Prowler!A177</f>
        <v>0</v>
      </c>
      <c r="O177" s="4" t="str">
        <f aca="false">IF(Prowler!N177="", "", _xlfn.CONCAT("[{""key"":""",SUBSTITUTE(SUBSTITUTE(Prowler!N177,"=",""",""value"":""")," | ","""},{""key"":"""),"""}]"))</f>
        <v/>
      </c>
    </row>
    <row r="178" customFormat="false" ht="135.45" hidden="false" customHeight="false" outlineLevel="0" collapsed="false">
      <c r="B178" s="1" t="str">
        <f aca="false">UPPER(Prowler!C178)</f>
        <v/>
      </c>
      <c r="C178" s="1" t="str">
        <f aca="false">IF(Prowler!AL178&lt;&gt;"",Prowler!AL178, _xlfn.CONCAT("arn:aws:ec2:",F178,":",Prowler!AD178,":instance/",Prowler!AK178))</f>
        <v>arn:aws:ec2:::instance/</v>
      </c>
      <c r="F178" s="1" t="n">
        <f aca="false">Prowler!AJ178</f>
        <v>0</v>
      </c>
      <c r="G178" s="1" t="n">
        <f aca="false">Prowler!E178</f>
        <v>0</v>
      </c>
      <c r="H178" s="4" t="str">
        <f aca="false">_xlfn.TEXTJOIN(CHAR(10),1, Prowler!O178:Q178)</f>
        <v/>
      </c>
      <c r="I178" s="4" t="str">
        <f aca="false">_xlfn.TEXTJOIN(CHAR(10),1, Prowler!R178:W178)</f>
        <v/>
      </c>
      <c r="J178" s="1" t="n">
        <f aca="false">IF(Prowler!K178="critical",10, IF(Prowler!K178="high",7, IF(Prowler!K178="medium",5, 1)))</f>
        <v>1</v>
      </c>
      <c r="M178" s="3" t="n">
        <f aca="false">Prowler!A178</f>
        <v>0</v>
      </c>
      <c r="O178" s="4" t="str">
        <f aca="false">IF(Prowler!N178="", "", _xlfn.CONCAT("[{""key"":""",SUBSTITUTE(SUBSTITUTE(Prowler!N178,"=",""",""value"":""")," | ","""},{""key"":"""),"""}]"))</f>
        <v/>
      </c>
    </row>
    <row r="179" customFormat="false" ht="135.45" hidden="false" customHeight="false" outlineLevel="0" collapsed="false">
      <c r="B179" s="1" t="str">
        <f aca="false">UPPER(Prowler!C179)</f>
        <v/>
      </c>
      <c r="C179" s="1" t="str">
        <f aca="false">IF(Prowler!AL179&lt;&gt;"",Prowler!AL179, _xlfn.CONCAT("arn:aws:ec2:",F179,":",Prowler!AD179,":instance/",Prowler!AK179))</f>
        <v>arn:aws:ec2:::instance/</v>
      </c>
      <c r="F179" s="1" t="n">
        <f aca="false">Prowler!AJ179</f>
        <v>0</v>
      </c>
      <c r="G179" s="1" t="n">
        <f aca="false">Prowler!E179</f>
        <v>0</v>
      </c>
      <c r="H179" s="4" t="str">
        <f aca="false">_xlfn.TEXTJOIN(CHAR(10),1, Prowler!O179:Q179)</f>
        <v/>
      </c>
      <c r="I179" s="4" t="str">
        <f aca="false">_xlfn.TEXTJOIN(CHAR(10),1, Prowler!R179:W179)</f>
        <v/>
      </c>
      <c r="J179" s="1" t="n">
        <f aca="false">IF(Prowler!K179="critical",10, IF(Prowler!K179="high",7, IF(Prowler!K179="medium",5, 1)))</f>
        <v>1</v>
      </c>
      <c r="M179" s="3" t="n">
        <f aca="false">Prowler!A179</f>
        <v>0</v>
      </c>
      <c r="O179" s="4" t="str">
        <f aca="false">IF(Prowler!N179="", "", _xlfn.CONCAT("[{""key"":""",SUBSTITUTE(SUBSTITUTE(Prowler!N179,"=",""",""value"":""")," | ","""},{""key"":"""),"""}]"))</f>
        <v/>
      </c>
    </row>
    <row r="180" customFormat="false" ht="135.45" hidden="false" customHeight="false" outlineLevel="0" collapsed="false">
      <c r="B180" s="1" t="str">
        <f aca="false">UPPER(Prowler!C180)</f>
        <v/>
      </c>
      <c r="C180" s="1" t="str">
        <f aca="false">IF(Prowler!AL180&lt;&gt;"",Prowler!AL180, _xlfn.CONCAT("arn:aws:ec2:",F180,":",Prowler!AD180,":instance/",Prowler!AK180))</f>
        <v>arn:aws:ec2:::instance/</v>
      </c>
      <c r="F180" s="1" t="n">
        <f aca="false">Prowler!AJ180</f>
        <v>0</v>
      </c>
      <c r="G180" s="1" t="n">
        <f aca="false">Prowler!E180</f>
        <v>0</v>
      </c>
      <c r="H180" s="4" t="str">
        <f aca="false">_xlfn.TEXTJOIN(CHAR(10),1, Prowler!O180:Q180)</f>
        <v/>
      </c>
      <c r="I180" s="4" t="str">
        <f aca="false">_xlfn.TEXTJOIN(CHAR(10),1, Prowler!R180:W180)</f>
        <v/>
      </c>
      <c r="J180" s="1" t="n">
        <f aca="false">IF(Prowler!K180="critical",10, IF(Prowler!K180="high",7, IF(Prowler!K180="medium",5, 1)))</f>
        <v>1</v>
      </c>
      <c r="M180" s="3" t="n">
        <f aca="false">Prowler!A180</f>
        <v>0</v>
      </c>
      <c r="O180" s="4" t="str">
        <f aca="false">IF(Prowler!N180="", "", _xlfn.CONCAT("[{""key"":""",SUBSTITUTE(SUBSTITUTE(Prowler!N180,"=",""",""value"":""")," | ","""},{""key"":"""),"""}]"))</f>
        <v/>
      </c>
    </row>
    <row r="181" customFormat="false" ht="135.45" hidden="false" customHeight="false" outlineLevel="0" collapsed="false">
      <c r="B181" s="1" t="str">
        <f aca="false">UPPER(Prowler!C181)</f>
        <v/>
      </c>
      <c r="C181" s="1" t="str">
        <f aca="false">IF(Prowler!AL181&lt;&gt;"",Prowler!AL181, _xlfn.CONCAT("arn:aws:ec2:",F181,":",Prowler!AD181,":instance/",Prowler!AK181))</f>
        <v>arn:aws:ec2:::instance/</v>
      </c>
      <c r="F181" s="1" t="n">
        <f aca="false">Prowler!AJ181</f>
        <v>0</v>
      </c>
      <c r="G181" s="1" t="n">
        <f aca="false">Prowler!E181</f>
        <v>0</v>
      </c>
      <c r="H181" s="4" t="str">
        <f aca="false">_xlfn.TEXTJOIN(CHAR(10),1, Prowler!O181:Q181)</f>
        <v/>
      </c>
      <c r="I181" s="4" t="str">
        <f aca="false">_xlfn.TEXTJOIN(CHAR(10),1, Prowler!R181:W181)</f>
        <v/>
      </c>
      <c r="J181" s="1" t="n">
        <f aca="false">IF(Prowler!K181="critical",10, IF(Prowler!K181="high",7, IF(Prowler!K181="medium",5, 1)))</f>
        <v>1</v>
      </c>
      <c r="M181" s="3" t="n">
        <f aca="false">Prowler!A181</f>
        <v>0</v>
      </c>
      <c r="O181" s="4" t="str">
        <f aca="false">IF(Prowler!N181="", "", _xlfn.CONCAT("[{""key"":""",SUBSTITUTE(SUBSTITUTE(Prowler!N181,"=",""",""value"":""")," | ","""},{""key"":"""),"""}]"))</f>
        <v/>
      </c>
    </row>
    <row r="182" customFormat="false" ht="135.45" hidden="false" customHeight="false" outlineLevel="0" collapsed="false">
      <c r="B182" s="1" t="str">
        <f aca="false">UPPER(Prowler!C182)</f>
        <v/>
      </c>
      <c r="C182" s="1" t="str">
        <f aca="false">IF(Prowler!AL182&lt;&gt;"",Prowler!AL182, _xlfn.CONCAT("arn:aws:ec2:",F182,":",Prowler!AD182,":instance/",Prowler!AK182))</f>
        <v>arn:aws:ec2:::instance/</v>
      </c>
      <c r="F182" s="1" t="n">
        <f aca="false">Prowler!AJ182</f>
        <v>0</v>
      </c>
      <c r="G182" s="1" t="n">
        <f aca="false">Prowler!E182</f>
        <v>0</v>
      </c>
      <c r="H182" s="4" t="str">
        <f aca="false">_xlfn.TEXTJOIN(CHAR(10),1, Prowler!O182:Q182)</f>
        <v/>
      </c>
      <c r="I182" s="4" t="str">
        <f aca="false">_xlfn.TEXTJOIN(CHAR(10),1, Prowler!R182:W182)</f>
        <v/>
      </c>
      <c r="J182" s="1" t="n">
        <f aca="false">IF(Prowler!K182="critical",10, IF(Prowler!K182="high",7, IF(Prowler!K182="medium",5, 1)))</f>
        <v>1</v>
      </c>
      <c r="M182" s="3" t="n">
        <f aca="false">Prowler!A182</f>
        <v>0</v>
      </c>
      <c r="O182" s="4" t="str">
        <f aca="false">IF(Prowler!N182="", "", _xlfn.CONCAT("[{""key"":""",SUBSTITUTE(SUBSTITUTE(Prowler!N182,"=",""",""value"":""")," | ","""},{""key"":"""),"""}]"))</f>
        <v/>
      </c>
    </row>
    <row r="183" customFormat="false" ht="135.45" hidden="false" customHeight="false" outlineLevel="0" collapsed="false">
      <c r="B183" s="1" t="str">
        <f aca="false">UPPER(Prowler!C183)</f>
        <v/>
      </c>
      <c r="C183" s="1" t="str">
        <f aca="false">IF(Prowler!AL183&lt;&gt;"",Prowler!AL183, _xlfn.CONCAT("arn:aws:ec2:",F183,":",Prowler!AD183,":instance/",Prowler!AK183))</f>
        <v>arn:aws:ec2:::instance/</v>
      </c>
      <c r="F183" s="1" t="n">
        <f aca="false">Prowler!AJ183</f>
        <v>0</v>
      </c>
      <c r="G183" s="1" t="n">
        <f aca="false">Prowler!E183</f>
        <v>0</v>
      </c>
      <c r="H183" s="4" t="str">
        <f aca="false">_xlfn.TEXTJOIN(CHAR(10),1, Prowler!O183:Q183)</f>
        <v/>
      </c>
      <c r="I183" s="4" t="str">
        <f aca="false">_xlfn.TEXTJOIN(CHAR(10),1, Prowler!R183:W183)</f>
        <v/>
      </c>
      <c r="J183" s="1" t="n">
        <f aca="false">IF(Prowler!K183="critical",10, IF(Prowler!K183="high",7, IF(Prowler!K183="medium",5, 1)))</f>
        <v>1</v>
      </c>
      <c r="M183" s="3" t="n">
        <f aca="false">Prowler!A183</f>
        <v>0</v>
      </c>
      <c r="O183" s="4" t="str">
        <f aca="false">IF(Prowler!N183="", "", _xlfn.CONCAT("[{""key"":""",SUBSTITUTE(SUBSTITUTE(Prowler!N183,"=",""",""value"":""")," | ","""},{""key"":"""),"""}]"))</f>
        <v/>
      </c>
    </row>
    <row r="184" customFormat="false" ht="135.45" hidden="false" customHeight="false" outlineLevel="0" collapsed="false">
      <c r="B184" s="1" t="str">
        <f aca="false">UPPER(Prowler!C184)</f>
        <v/>
      </c>
      <c r="C184" s="1" t="str">
        <f aca="false">IF(Prowler!AL184&lt;&gt;"",Prowler!AL184, _xlfn.CONCAT("arn:aws:ec2:",F184,":",Prowler!AD184,":instance/",Prowler!AK184))</f>
        <v>arn:aws:ec2:::instance/</v>
      </c>
      <c r="F184" s="1" t="n">
        <f aca="false">Prowler!AJ184</f>
        <v>0</v>
      </c>
      <c r="G184" s="1" t="n">
        <f aca="false">Prowler!E184</f>
        <v>0</v>
      </c>
      <c r="H184" s="4" t="str">
        <f aca="false">_xlfn.TEXTJOIN(CHAR(10),1, Prowler!O184:Q184)</f>
        <v/>
      </c>
      <c r="I184" s="4" t="str">
        <f aca="false">_xlfn.TEXTJOIN(CHAR(10),1, Prowler!R184:W184)</f>
        <v/>
      </c>
      <c r="J184" s="1" t="n">
        <f aca="false">IF(Prowler!K184="critical",10, IF(Prowler!K184="high",7, IF(Prowler!K184="medium",5, 1)))</f>
        <v>1</v>
      </c>
      <c r="M184" s="3" t="n">
        <f aca="false">Prowler!A184</f>
        <v>0</v>
      </c>
      <c r="O184" s="4" t="str">
        <f aca="false">IF(Prowler!N184="", "", _xlfn.CONCAT("[{""key"":""",SUBSTITUTE(SUBSTITUTE(Prowler!N184,"=",""",""value"":""")," | ","""},{""key"":"""),"""}]"))</f>
        <v/>
      </c>
    </row>
    <row r="185" customFormat="false" ht="135.45" hidden="false" customHeight="false" outlineLevel="0" collapsed="false">
      <c r="B185" s="1" t="str">
        <f aca="false">UPPER(Prowler!C185)</f>
        <v/>
      </c>
      <c r="C185" s="1" t="str">
        <f aca="false">IF(Prowler!AL185&lt;&gt;"",Prowler!AL185, _xlfn.CONCAT("arn:aws:ec2:",F185,":",Prowler!AD185,":instance/",Prowler!AK185))</f>
        <v>arn:aws:ec2:::instance/</v>
      </c>
      <c r="F185" s="1" t="n">
        <f aca="false">Prowler!AJ185</f>
        <v>0</v>
      </c>
      <c r="G185" s="1" t="n">
        <f aca="false">Prowler!E185</f>
        <v>0</v>
      </c>
      <c r="H185" s="4" t="str">
        <f aca="false">_xlfn.TEXTJOIN(CHAR(10),1, Prowler!O185:Q185)</f>
        <v/>
      </c>
      <c r="I185" s="4" t="str">
        <f aca="false">_xlfn.TEXTJOIN(CHAR(10),1, Prowler!R185:W185)</f>
        <v/>
      </c>
      <c r="J185" s="1" t="n">
        <f aca="false">IF(Prowler!K185="critical",10, IF(Prowler!K185="high",7, IF(Prowler!K185="medium",5, 1)))</f>
        <v>1</v>
      </c>
      <c r="M185" s="3" t="n">
        <f aca="false">Prowler!A185</f>
        <v>0</v>
      </c>
      <c r="O185" s="4" t="str">
        <f aca="false">IF(Prowler!N185="", "", _xlfn.CONCAT("[{""key"":""",SUBSTITUTE(SUBSTITUTE(Prowler!N185,"=",""",""value"":""")," | ","""},{""key"":"""),"""}]"))</f>
        <v/>
      </c>
    </row>
    <row r="186" customFormat="false" ht="135.45" hidden="false" customHeight="false" outlineLevel="0" collapsed="false">
      <c r="B186" s="1" t="str">
        <f aca="false">UPPER(Prowler!C186)</f>
        <v/>
      </c>
      <c r="C186" s="1" t="str">
        <f aca="false">IF(Prowler!AL186&lt;&gt;"",Prowler!AL186, _xlfn.CONCAT("arn:aws:ec2:",F186,":",Prowler!AD186,":instance/",Prowler!AK186))</f>
        <v>arn:aws:ec2:::instance/</v>
      </c>
      <c r="F186" s="1" t="n">
        <f aca="false">Prowler!AJ186</f>
        <v>0</v>
      </c>
      <c r="G186" s="1" t="n">
        <f aca="false">Prowler!E186</f>
        <v>0</v>
      </c>
      <c r="H186" s="4" t="str">
        <f aca="false">_xlfn.TEXTJOIN(CHAR(10),1, Prowler!O186:Q186)</f>
        <v/>
      </c>
      <c r="I186" s="4" t="str">
        <f aca="false">_xlfn.TEXTJOIN(CHAR(10),1, Prowler!R186:W186)</f>
        <v/>
      </c>
      <c r="J186" s="1" t="n">
        <f aca="false">IF(Prowler!K186="critical",10, IF(Prowler!K186="high",7, IF(Prowler!K186="medium",5, 1)))</f>
        <v>1</v>
      </c>
      <c r="M186" s="3" t="n">
        <f aca="false">Prowler!A186</f>
        <v>0</v>
      </c>
      <c r="O186" s="4" t="str">
        <f aca="false">IF(Prowler!N186="", "", _xlfn.CONCAT("[{""key"":""",SUBSTITUTE(SUBSTITUTE(Prowler!N186,"=",""",""value"":""")," | ","""},{""key"":"""),"""}]"))</f>
        <v/>
      </c>
    </row>
    <row r="187" customFormat="false" ht="135.45" hidden="false" customHeight="false" outlineLevel="0" collapsed="false">
      <c r="B187" s="1" t="str">
        <f aca="false">UPPER(Prowler!C187)</f>
        <v/>
      </c>
      <c r="C187" s="1" t="str">
        <f aca="false">IF(Prowler!AL187&lt;&gt;"",Prowler!AL187, _xlfn.CONCAT("arn:aws:ec2:",F187,":",Prowler!AD187,":instance/",Prowler!AK187))</f>
        <v>arn:aws:ec2:::instance/</v>
      </c>
      <c r="F187" s="1" t="n">
        <f aca="false">Prowler!AJ187</f>
        <v>0</v>
      </c>
      <c r="G187" s="1" t="n">
        <f aca="false">Prowler!E187</f>
        <v>0</v>
      </c>
      <c r="H187" s="4" t="str">
        <f aca="false">_xlfn.TEXTJOIN(CHAR(10),1, Prowler!O187:Q187)</f>
        <v/>
      </c>
      <c r="I187" s="4" t="str">
        <f aca="false">_xlfn.TEXTJOIN(CHAR(10),1, Prowler!R187:W187)</f>
        <v/>
      </c>
      <c r="J187" s="1" t="n">
        <f aca="false">IF(Prowler!K187="critical",10, IF(Prowler!K187="high",7, IF(Prowler!K187="medium",5, 1)))</f>
        <v>1</v>
      </c>
      <c r="M187" s="3" t="n">
        <f aca="false">Prowler!A187</f>
        <v>0</v>
      </c>
      <c r="O187" s="4" t="str">
        <f aca="false">IF(Prowler!N187="", "", _xlfn.CONCAT("[{""key"":""",SUBSTITUTE(SUBSTITUTE(Prowler!N187,"=",""",""value"":""")," | ","""},{""key"":"""),"""}]"))</f>
        <v/>
      </c>
    </row>
    <row r="188" customFormat="false" ht="135.45" hidden="false" customHeight="false" outlineLevel="0" collapsed="false">
      <c r="B188" s="1" t="str">
        <f aca="false">UPPER(Prowler!C188)</f>
        <v/>
      </c>
      <c r="C188" s="1" t="str">
        <f aca="false">IF(Prowler!AL188&lt;&gt;"",Prowler!AL188, _xlfn.CONCAT("arn:aws:ec2:",F188,":",Prowler!AD188,":instance/",Prowler!AK188))</f>
        <v>arn:aws:ec2:::instance/</v>
      </c>
      <c r="F188" s="1" t="n">
        <f aca="false">Prowler!AJ188</f>
        <v>0</v>
      </c>
      <c r="G188" s="1" t="n">
        <f aca="false">Prowler!E188</f>
        <v>0</v>
      </c>
      <c r="H188" s="4" t="str">
        <f aca="false">_xlfn.TEXTJOIN(CHAR(10),1, Prowler!O188:Q188)</f>
        <v/>
      </c>
      <c r="I188" s="4" t="str">
        <f aca="false">_xlfn.TEXTJOIN(CHAR(10),1, Prowler!R188:W188)</f>
        <v/>
      </c>
      <c r="J188" s="1" t="n">
        <f aca="false">IF(Prowler!K188="critical",10, IF(Prowler!K188="high",7, IF(Prowler!K188="medium",5, 1)))</f>
        <v>1</v>
      </c>
      <c r="M188" s="3" t="n">
        <f aca="false">Prowler!A188</f>
        <v>0</v>
      </c>
      <c r="O188" s="4" t="str">
        <f aca="false">IF(Prowler!N188="", "", _xlfn.CONCAT("[{""key"":""",SUBSTITUTE(SUBSTITUTE(Prowler!N188,"=",""",""value"":""")," | ","""},{""key"":"""),"""}]"))</f>
        <v/>
      </c>
    </row>
    <row r="189" customFormat="false" ht="135.45" hidden="false" customHeight="false" outlineLevel="0" collapsed="false">
      <c r="B189" s="1" t="str">
        <f aca="false">UPPER(Prowler!C189)</f>
        <v/>
      </c>
      <c r="C189" s="1" t="str">
        <f aca="false">IF(Prowler!AL189&lt;&gt;"",Prowler!AL189, _xlfn.CONCAT("arn:aws:ec2:",F189,":",Prowler!AD189,":instance/",Prowler!AK189))</f>
        <v>arn:aws:ec2:::instance/</v>
      </c>
      <c r="F189" s="1" t="n">
        <f aca="false">Prowler!AJ189</f>
        <v>0</v>
      </c>
      <c r="G189" s="1" t="n">
        <f aca="false">Prowler!E189</f>
        <v>0</v>
      </c>
      <c r="H189" s="4" t="str">
        <f aca="false">_xlfn.TEXTJOIN(CHAR(10),1, Prowler!O189:Q189)</f>
        <v/>
      </c>
      <c r="I189" s="4" t="str">
        <f aca="false">_xlfn.TEXTJOIN(CHAR(10),1, Prowler!R189:W189)</f>
        <v/>
      </c>
      <c r="J189" s="1" t="n">
        <f aca="false">IF(Prowler!K189="critical",10, IF(Prowler!K189="high",7, IF(Prowler!K189="medium",5, 1)))</f>
        <v>1</v>
      </c>
      <c r="M189" s="3" t="n">
        <f aca="false">Prowler!A189</f>
        <v>0</v>
      </c>
      <c r="O189" s="4" t="str">
        <f aca="false">IF(Prowler!N189="", "", _xlfn.CONCAT("[{""key"":""",SUBSTITUTE(SUBSTITUTE(Prowler!N189,"=",""",""value"":""")," | ","""},{""key"":"""),"""}]"))</f>
        <v/>
      </c>
    </row>
    <row r="190" customFormat="false" ht="135.45" hidden="false" customHeight="false" outlineLevel="0" collapsed="false">
      <c r="B190" s="1" t="str">
        <f aca="false">UPPER(Prowler!C190)</f>
        <v/>
      </c>
      <c r="C190" s="1" t="str">
        <f aca="false">IF(Prowler!AL190&lt;&gt;"",Prowler!AL190, _xlfn.CONCAT("arn:aws:ec2:",F190,":",Prowler!AD190,":instance/",Prowler!AK190))</f>
        <v>arn:aws:ec2:::instance/</v>
      </c>
      <c r="F190" s="1" t="n">
        <f aca="false">Prowler!AJ190</f>
        <v>0</v>
      </c>
      <c r="G190" s="1" t="n">
        <f aca="false">Prowler!E190</f>
        <v>0</v>
      </c>
      <c r="H190" s="4" t="str">
        <f aca="false">_xlfn.TEXTJOIN(CHAR(10),1, Prowler!O190:Q190)</f>
        <v/>
      </c>
      <c r="I190" s="4" t="str">
        <f aca="false">_xlfn.TEXTJOIN(CHAR(10),1, Prowler!R190:W190)</f>
        <v/>
      </c>
      <c r="J190" s="1" t="n">
        <f aca="false">IF(Prowler!K190="critical",10, IF(Prowler!K190="high",7, IF(Prowler!K190="medium",5, 1)))</f>
        <v>1</v>
      </c>
      <c r="M190" s="3" t="n">
        <f aca="false">Prowler!A190</f>
        <v>0</v>
      </c>
      <c r="O190" s="4" t="str">
        <f aca="false">IF(Prowler!N190="", "", _xlfn.CONCAT("[{""key"":""",SUBSTITUTE(SUBSTITUTE(Prowler!N190,"=",""",""value"":""")," | ","""},{""key"":"""),"""}]"))</f>
        <v/>
      </c>
    </row>
    <row r="191" customFormat="false" ht="135.45" hidden="false" customHeight="false" outlineLevel="0" collapsed="false">
      <c r="B191" s="1" t="str">
        <f aca="false">UPPER(Prowler!C191)</f>
        <v/>
      </c>
      <c r="C191" s="1" t="str">
        <f aca="false">IF(Prowler!AL191&lt;&gt;"",Prowler!AL191, _xlfn.CONCAT("arn:aws:ec2:",F191,":",Prowler!AD191,":instance/",Prowler!AK191))</f>
        <v>arn:aws:ec2:::instance/</v>
      </c>
      <c r="F191" s="1" t="n">
        <f aca="false">Prowler!AJ191</f>
        <v>0</v>
      </c>
      <c r="G191" s="1" t="n">
        <f aca="false">Prowler!E191</f>
        <v>0</v>
      </c>
      <c r="H191" s="4" t="str">
        <f aca="false">_xlfn.TEXTJOIN(CHAR(10),1, Prowler!O191:Q191)</f>
        <v/>
      </c>
      <c r="I191" s="4" t="str">
        <f aca="false">_xlfn.TEXTJOIN(CHAR(10),1, Prowler!R191:W191)</f>
        <v/>
      </c>
      <c r="J191" s="1" t="n">
        <f aca="false">IF(Prowler!K191="critical",10, IF(Prowler!K191="high",7, IF(Prowler!K191="medium",5, 1)))</f>
        <v>1</v>
      </c>
      <c r="M191" s="3" t="n">
        <f aca="false">Prowler!A191</f>
        <v>0</v>
      </c>
      <c r="O191" s="4" t="str">
        <f aca="false">IF(Prowler!N191="", "", _xlfn.CONCAT("[{""key"":""",SUBSTITUTE(SUBSTITUTE(Prowler!N191,"=",""",""value"":""")," | ","""},{""key"":"""),"""}]"))</f>
        <v/>
      </c>
    </row>
    <row r="192" customFormat="false" ht="135.45" hidden="false" customHeight="false" outlineLevel="0" collapsed="false">
      <c r="B192" s="1" t="str">
        <f aca="false">UPPER(Prowler!C192)</f>
        <v/>
      </c>
      <c r="C192" s="1" t="str">
        <f aca="false">IF(Prowler!AL192&lt;&gt;"",Prowler!AL192, _xlfn.CONCAT("arn:aws:ec2:",F192,":",Prowler!AD192,":instance/",Prowler!AK192))</f>
        <v>arn:aws:ec2:::instance/</v>
      </c>
      <c r="F192" s="1" t="n">
        <f aca="false">Prowler!AJ192</f>
        <v>0</v>
      </c>
      <c r="G192" s="1" t="n">
        <f aca="false">Prowler!E192</f>
        <v>0</v>
      </c>
      <c r="H192" s="4" t="str">
        <f aca="false">_xlfn.TEXTJOIN(CHAR(10),1, Prowler!O192:Q192)</f>
        <v/>
      </c>
      <c r="I192" s="4" t="str">
        <f aca="false">_xlfn.TEXTJOIN(CHAR(10),1, Prowler!R192:W192)</f>
        <v/>
      </c>
      <c r="J192" s="1" t="n">
        <f aca="false">IF(Prowler!K192="critical",10, IF(Prowler!K192="high",7, IF(Prowler!K192="medium",5, 1)))</f>
        <v>1</v>
      </c>
      <c r="M192" s="3" t="n">
        <f aca="false">Prowler!A192</f>
        <v>0</v>
      </c>
      <c r="O192" s="4" t="str">
        <f aca="false">IF(Prowler!N192="", "", _xlfn.CONCAT("[{""key"":""",SUBSTITUTE(SUBSTITUTE(Prowler!N192,"=",""",""value"":""")," | ","""},{""key"":"""),"""}]"))</f>
        <v/>
      </c>
    </row>
    <row r="193" customFormat="false" ht="135.45" hidden="false" customHeight="false" outlineLevel="0" collapsed="false">
      <c r="B193" s="1" t="str">
        <f aca="false">UPPER(Prowler!C193)</f>
        <v/>
      </c>
      <c r="C193" s="1" t="str">
        <f aca="false">IF(Prowler!AL193&lt;&gt;"",Prowler!AL193, _xlfn.CONCAT("arn:aws:ec2:",F193,":",Prowler!AD193,":instance/",Prowler!AK193))</f>
        <v>arn:aws:ec2:::instance/</v>
      </c>
      <c r="F193" s="1" t="n">
        <f aca="false">Prowler!AJ193</f>
        <v>0</v>
      </c>
      <c r="G193" s="1" t="n">
        <f aca="false">Prowler!E193</f>
        <v>0</v>
      </c>
      <c r="H193" s="4" t="str">
        <f aca="false">_xlfn.TEXTJOIN(CHAR(10),1, Prowler!O193:Q193)</f>
        <v/>
      </c>
      <c r="I193" s="4" t="str">
        <f aca="false">_xlfn.TEXTJOIN(CHAR(10),1, Prowler!R193:W193)</f>
        <v/>
      </c>
      <c r="J193" s="1" t="n">
        <f aca="false">IF(Prowler!K193="critical",10, IF(Prowler!K193="high",7, IF(Prowler!K193="medium",5, 1)))</f>
        <v>1</v>
      </c>
      <c r="M193" s="3" t="n">
        <f aca="false">Prowler!A193</f>
        <v>0</v>
      </c>
      <c r="O193" s="4" t="str">
        <f aca="false">IF(Prowler!N193="", "", _xlfn.CONCAT("[{""key"":""",SUBSTITUTE(SUBSTITUTE(Prowler!N193,"=",""",""value"":""")," | ","""},{""key"":"""),"""}]"))</f>
        <v/>
      </c>
    </row>
    <row r="194" customFormat="false" ht="135.45" hidden="false" customHeight="false" outlineLevel="0" collapsed="false">
      <c r="B194" s="1" t="str">
        <f aca="false">UPPER(Prowler!C194)</f>
        <v/>
      </c>
      <c r="C194" s="1" t="str">
        <f aca="false">IF(Prowler!AL194&lt;&gt;"",Prowler!AL194, _xlfn.CONCAT("arn:aws:ec2:",F194,":",Prowler!AD194,":instance/",Prowler!AK194))</f>
        <v>arn:aws:ec2:::instance/</v>
      </c>
      <c r="F194" s="1" t="n">
        <f aca="false">Prowler!AJ194</f>
        <v>0</v>
      </c>
      <c r="G194" s="1" t="n">
        <f aca="false">Prowler!E194</f>
        <v>0</v>
      </c>
      <c r="H194" s="4" t="str">
        <f aca="false">_xlfn.TEXTJOIN(CHAR(10),1, Prowler!O194:Q194)</f>
        <v/>
      </c>
      <c r="I194" s="4" t="str">
        <f aca="false">_xlfn.TEXTJOIN(CHAR(10),1, Prowler!R194:W194)</f>
        <v/>
      </c>
      <c r="J194" s="1" t="n">
        <f aca="false">IF(Prowler!K194="critical",10, IF(Prowler!K194="high",7, IF(Prowler!K194="medium",5, 1)))</f>
        <v>1</v>
      </c>
      <c r="M194" s="3" t="n">
        <f aca="false">Prowler!A194</f>
        <v>0</v>
      </c>
      <c r="O194" s="4" t="str">
        <f aca="false">IF(Prowler!N194="", "", _xlfn.CONCAT("[{""key"":""",SUBSTITUTE(SUBSTITUTE(Prowler!N194,"=",""",""value"":""")," | ","""},{""key"":"""),"""}]"))</f>
        <v/>
      </c>
    </row>
    <row r="195" customFormat="false" ht="135.45" hidden="false" customHeight="false" outlineLevel="0" collapsed="false">
      <c r="B195" s="1" t="str">
        <f aca="false">UPPER(Prowler!C195)</f>
        <v/>
      </c>
      <c r="C195" s="1" t="str">
        <f aca="false">IF(Prowler!AL195&lt;&gt;"",Prowler!AL195, _xlfn.CONCAT("arn:aws:ec2:",F195,":",Prowler!AD195,":instance/",Prowler!AK195))</f>
        <v>arn:aws:ec2:::instance/</v>
      </c>
      <c r="F195" s="1" t="n">
        <f aca="false">Prowler!AJ195</f>
        <v>0</v>
      </c>
      <c r="G195" s="1" t="n">
        <f aca="false">Prowler!E195</f>
        <v>0</v>
      </c>
      <c r="H195" s="4" t="str">
        <f aca="false">_xlfn.TEXTJOIN(CHAR(10),1, Prowler!O195:Q195)</f>
        <v/>
      </c>
      <c r="I195" s="4" t="str">
        <f aca="false">_xlfn.TEXTJOIN(CHAR(10),1, Prowler!R195:W195)</f>
        <v/>
      </c>
      <c r="J195" s="1" t="n">
        <f aca="false">IF(Prowler!K195="critical",10, IF(Prowler!K195="high",7, IF(Prowler!K195="medium",5, 1)))</f>
        <v>1</v>
      </c>
      <c r="M195" s="3" t="n">
        <f aca="false">Prowler!A195</f>
        <v>0</v>
      </c>
      <c r="O195" s="4" t="str">
        <f aca="false">IF(Prowler!N195="", "", _xlfn.CONCAT("[{""key"":""",SUBSTITUTE(SUBSTITUTE(Prowler!N195,"=",""",""value"":""")," | ","""},{""key"":"""),"""}]"))</f>
        <v/>
      </c>
    </row>
    <row r="196" customFormat="false" ht="135.45" hidden="false" customHeight="false" outlineLevel="0" collapsed="false">
      <c r="B196" s="1" t="str">
        <f aca="false">UPPER(Prowler!C196)</f>
        <v/>
      </c>
      <c r="C196" s="1" t="str">
        <f aca="false">IF(Prowler!AL196&lt;&gt;"",Prowler!AL196, _xlfn.CONCAT("arn:aws:ec2:",F196,":",Prowler!AD196,":instance/",Prowler!AK196))</f>
        <v>arn:aws:ec2:::instance/</v>
      </c>
      <c r="F196" s="1" t="n">
        <f aca="false">Prowler!AJ196</f>
        <v>0</v>
      </c>
      <c r="G196" s="1" t="n">
        <f aca="false">Prowler!E196</f>
        <v>0</v>
      </c>
      <c r="H196" s="4" t="str">
        <f aca="false">_xlfn.TEXTJOIN(CHAR(10),1, Prowler!O196:Q196)</f>
        <v/>
      </c>
      <c r="I196" s="4" t="str">
        <f aca="false">_xlfn.TEXTJOIN(CHAR(10),1, Prowler!R196:W196)</f>
        <v/>
      </c>
      <c r="J196" s="1" t="n">
        <f aca="false">IF(Prowler!K196="critical",10, IF(Prowler!K196="high",7, IF(Prowler!K196="medium",5, 1)))</f>
        <v>1</v>
      </c>
      <c r="M196" s="3" t="n">
        <f aca="false">Prowler!A196</f>
        <v>0</v>
      </c>
      <c r="O196" s="4" t="str">
        <f aca="false">IF(Prowler!N196="", "", _xlfn.CONCAT("[{""key"":""",SUBSTITUTE(SUBSTITUTE(Prowler!N196,"=",""",""value"":""")," | ","""},{""key"":"""),"""}]"))</f>
        <v/>
      </c>
    </row>
    <row r="197" customFormat="false" ht="135.45" hidden="false" customHeight="false" outlineLevel="0" collapsed="false">
      <c r="B197" s="1" t="str">
        <f aca="false">UPPER(Prowler!C197)</f>
        <v/>
      </c>
      <c r="C197" s="1" t="str">
        <f aca="false">IF(Prowler!AL197&lt;&gt;"",Prowler!AL197, _xlfn.CONCAT("arn:aws:ec2:",F197,":",Prowler!AD197,":instance/",Prowler!AK197))</f>
        <v>arn:aws:ec2:::instance/</v>
      </c>
      <c r="F197" s="1" t="n">
        <f aca="false">Prowler!AJ197</f>
        <v>0</v>
      </c>
      <c r="G197" s="1" t="n">
        <f aca="false">Prowler!E197</f>
        <v>0</v>
      </c>
      <c r="H197" s="4" t="str">
        <f aca="false">_xlfn.TEXTJOIN(CHAR(10),1, Prowler!O197:Q197)</f>
        <v/>
      </c>
      <c r="I197" s="4" t="str">
        <f aca="false">_xlfn.TEXTJOIN(CHAR(10),1, Prowler!R197:W197)</f>
        <v/>
      </c>
      <c r="J197" s="1" t="n">
        <f aca="false">IF(Prowler!K197="critical",10, IF(Prowler!K197="high",7, IF(Prowler!K197="medium",5, 1)))</f>
        <v>1</v>
      </c>
      <c r="M197" s="3" t="n">
        <f aca="false">Prowler!A197</f>
        <v>0</v>
      </c>
      <c r="O197" s="4" t="str">
        <f aca="false">IF(Prowler!N197="", "", _xlfn.CONCAT("[{""key"":""",SUBSTITUTE(SUBSTITUTE(Prowler!N197,"=",""",""value"":""")," | ","""},{""key"":"""),"""}]"))</f>
        <v/>
      </c>
    </row>
    <row r="198" customFormat="false" ht="135.45" hidden="false" customHeight="false" outlineLevel="0" collapsed="false">
      <c r="B198" s="1" t="str">
        <f aca="false">UPPER(Prowler!C198)</f>
        <v/>
      </c>
      <c r="C198" s="1" t="str">
        <f aca="false">IF(Prowler!AL198&lt;&gt;"",Prowler!AL198, _xlfn.CONCAT("arn:aws:ec2:",F198,":",Prowler!AD198,":instance/",Prowler!AK198))</f>
        <v>arn:aws:ec2:::instance/</v>
      </c>
      <c r="F198" s="1" t="n">
        <f aca="false">Prowler!AJ198</f>
        <v>0</v>
      </c>
      <c r="G198" s="1" t="n">
        <f aca="false">Prowler!E198</f>
        <v>0</v>
      </c>
      <c r="H198" s="4" t="str">
        <f aca="false">_xlfn.TEXTJOIN(CHAR(10),1, Prowler!O198:Q198)</f>
        <v/>
      </c>
      <c r="I198" s="4" t="str">
        <f aca="false">_xlfn.TEXTJOIN(CHAR(10),1, Prowler!R198:W198)</f>
        <v/>
      </c>
      <c r="J198" s="1" t="n">
        <f aca="false">IF(Prowler!K198="critical",10, IF(Prowler!K198="high",7, IF(Prowler!K198="medium",5, 1)))</f>
        <v>1</v>
      </c>
      <c r="M198" s="3" t="n">
        <f aca="false">Prowler!A198</f>
        <v>0</v>
      </c>
      <c r="O198" s="4" t="str">
        <f aca="false">IF(Prowler!N198="", "", _xlfn.CONCAT("[{""key"":""",SUBSTITUTE(SUBSTITUTE(Prowler!N198,"=",""",""value"":""")," | ","""},{""key"":"""),"""}]"))</f>
        <v/>
      </c>
    </row>
    <row r="199" customFormat="false" ht="135.45" hidden="false" customHeight="false" outlineLevel="0" collapsed="false">
      <c r="B199" s="1" t="str">
        <f aca="false">UPPER(Prowler!C199)</f>
        <v/>
      </c>
      <c r="C199" s="1" t="str">
        <f aca="false">IF(Prowler!AL199&lt;&gt;"",Prowler!AL199, _xlfn.CONCAT("arn:aws:ec2:",F199,":",Prowler!AD199,":instance/",Prowler!AK199))</f>
        <v>arn:aws:ec2:::instance/</v>
      </c>
      <c r="F199" s="1" t="n">
        <f aca="false">Prowler!AJ199</f>
        <v>0</v>
      </c>
      <c r="G199" s="1" t="n">
        <f aca="false">Prowler!E199</f>
        <v>0</v>
      </c>
      <c r="H199" s="4" t="str">
        <f aca="false">_xlfn.TEXTJOIN(CHAR(10),1, Prowler!O199:Q199)</f>
        <v/>
      </c>
      <c r="I199" s="4" t="str">
        <f aca="false">_xlfn.TEXTJOIN(CHAR(10),1, Prowler!R199:W199)</f>
        <v/>
      </c>
      <c r="J199" s="1" t="n">
        <f aca="false">IF(Prowler!K199="critical",10, IF(Prowler!K199="high",7, IF(Prowler!K199="medium",5, 1)))</f>
        <v>1</v>
      </c>
      <c r="M199" s="3" t="n">
        <f aca="false">Prowler!A199</f>
        <v>0</v>
      </c>
      <c r="O199" s="4" t="str">
        <f aca="false">IF(Prowler!N199="", "", _xlfn.CONCAT("[{""key"":""",SUBSTITUTE(SUBSTITUTE(Prowler!N199,"=",""",""value"":""")," | ","""},{""key"":"""),"""}]"))</f>
        <v/>
      </c>
    </row>
    <row r="200" customFormat="false" ht="135.45" hidden="false" customHeight="false" outlineLevel="0" collapsed="false">
      <c r="B200" s="1" t="str">
        <f aca="false">UPPER(Prowler!C200)</f>
        <v/>
      </c>
      <c r="C200" s="1" t="str">
        <f aca="false">IF(Prowler!AL200&lt;&gt;"",Prowler!AL200, _xlfn.CONCAT("arn:aws:ec2:",F200,":",Prowler!AD200,":instance/",Prowler!AK200))</f>
        <v>arn:aws:ec2:::instance/</v>
      </c>
      <c r="F200" s="1" t="n">
        <f aca="false">Prowler!AJ200</f>
        <v>0</v>
      </c>
      <c r="G200" s="1" t="n">
        <f aca="false">Prowler!E200</f>
        <v>0</v>
      </c>
      <c r="H200" s="4" t="str">
        <f aca="false">_xlfn.TEXTJOIN(CHAR(10),1, Prowler!O200:Q200)</f>
        <v/>
      </c>
      <c r="I200" s="4" t="str">
        <f aca="false">_xlfn.TEXTJOIN(CHAR(10),1, Prowler!R200:W200)</f>
        <v/>
      </c>
      <c r="J200" s="1" t="n">
        <f aca="false">IF(Prowler!K200="critical",10, IF(Prowler!K200="high",7, IF(Prowler!K200="medium",5, 1)))</f>
        <v>1</v>
      </c>
      <c r="M200" s="3" t="n">
        <f aca="false">Prowler!A200</f>
        <v>0</v>
      </c>
      <c r="O200" s="4" t="str">
        <f aca="false">IF(Prowler!N200="", "", _xlfn.CONCAT("[{""key"":""",SUBSTITUTE(SUBSTITUTE(Prowler!N200,"=",""",""value"":""")," | ","""},{""key"":"""),"""}]"))</f>
        <v/>
      </c>
    </row>
    <row r="201" customFormat="false" ht="135.45" hidden="false" customHeight="false" outlineLevel="0" collapsed="false">
      <c r="B201" s="1" t="str">
        <f aca="false">UPPER(Prowler!C201)</f>
        <v/>
      </c>
      <c r="C201" s="1" t="str">
        <f aca="false">IF(Prowler!AL201&lt;&gt;"",Prowler!AL201, _xlfn.CONCAT("arn:aws:ec2:",F201,":",Prowler!AD201,":instance/",Prowler!AK201))</f>
        <v>arn:aws:ec2:::instance/</v>
      </c>
      <c r="F201" s="1" t="n">
        <f aca="false">Prowler!AJ201</f>
        <v>0</v>
      </c>
      <c r="G201" s="1" t="n">
        <f aca="false">Prowler!E201</f>
        <v>0</v>
      </c>
      <c r="H201" s="4" t="str">
        <f aca="false">_xlfn.TEXTJOIN(CHAR(10),1, Prowler!O201:Q201)</f>
        <v/>
      </c>
      <c r="I201" s="4" t="str">
        <f aca="false">_xlfn.TEXTJOIN(CHAR(10),1, Prowler!R201:W201)</f>
        <v/>
      </c>
      <c r="J201" s="1" t="n">
        <f aca="false">IF(Prowler!K201="critical",10, IF(Prowler!K201="high",7, IF(Prowler!K201="medium",5, 1)))</f>
        <v>1</v>
      </c>
      <c r="M201" s="3" t="n">
        <f aca="false">Prowler!A201</f>
        <v>0</v>
      </c>
      <c r="O201" s="4" t="str">
        <f aca="false">IF(Prowler!N201="", "", _xlfn.CONCAT("[{""key"":""",SUBSTITUTE(SUBSTITUTE(Prowler!N201,"=",""",""value"":""")," | ","""},{""key"":"""),"""}]"))</f>
        <v/>
      </c>
    </row>
    <row r="202" customFormat="false" ht="135.45" hidden="false" customHeight="false" outlineLevel="0" collapsed="false">
      <c r="B202" s="1" t="str">
        <f aca="false">UPPER(Prowler!C202)</f>
        <v/>
      </c>
      <c r="C202" s="1" t="str">
        <f aca="false">IF(Prowler!AL202&lt;&gt;"",Prowler!AL202, _xlfn.CONCAT("arn:aws:ec2:",F202,":",Prowler!AD202,":instance/",Prowler!AK202))</f>
        <v>arn:aws:ec2:::instance/</v>
      </c>
      <c r="F202" s="1" t="n">
        <f aca="false">Prowler!AJ202</f>
        <v>0</v>
      </c>
      <c r="G202" s="1" t="n">
        <f aca="false">Prowler!E202</f>
        <v>0</v>
      </c>
      <c r="H202" s="4" t="str">
        <f aca="false">_xlfn.TEXTJOIN(CHAR(10),1, Prowler!O202:Q202)</f>
        <v/>
      </c>
      <c r="I202" s="4" t="str">
        <f aca="false">_xlfn.TEXTJOIN(CHAR(10),1, Prowler!R202:W202)</f>
        <v/>
      </c>
      <c r="J202" s="1" t="n">
        <f aca="false">IF(Prowler!K202="critical",10, IF(Prowler!K202="high",7, IF(Prowler!K202="medium",5, 1)))</f>
        <v>1</v>
      </c>
      <c r="M202" s="3" t="n">
        <f aca="false">Prowler!A202</f>
        <v>0</v>
      </c>
      <c r="O202" s="4" t="str">
        <f aca="false">IF(Prowler!N202="", "", _xlfn.CONCAT("[{""key"":""",SUBSTITUTE(SUBSTITUTE(Prowler!N202,"=",""",""value"":""")," | ","""},{""key"":"""),"""}]"))</f>
        <v/>
      </c>
    </row>
    <row r="203" customFormat="false" ht="135.45" hidden="false" customHeight="false" outlineLevel="0" collapsed="false">
      <c r="B203" s="1" t="str">
        <f aca="false">UPPER(Prowler!C203)</f>
        <v/>
      </c>
      <c r="C203" s="1" t="str">
        <f aca="false">IF(Prowler!AL203&lt;&gt;"",Prowler!AL203, _xlfn.CONCAT("arn:aws:ec2:",F203,":",Prowler!AD203,":instance/",Prowler!AK203))</f>
        <v>arn:aws:ec2:::instance/</v>
      </c>
      <c r="F203" s="1" t="n">
        <f aca="false">Prowler!AJ203</f>
        <v>0</v>
      </c>
      <c r="G203" s="1" t="n">
        <f aca="false">Prowler!E203</f>
        <v>0</v>
      </c>
      <c r="H203" s="4" t="str">
        <f aca="false">_xlfn.TEXTJOIN(CHAR(10),1, Prowler!O203:Q203)</f>
        <v/>
      </c>
      <c r="I203" s="4" t="str">
        <f aca="false">_xlfn.TEXTJOIN(CHAR(10),1, Prowler!R203:W203)</f>
        <v/>
      </c>
      <c r="J203" s="1" t="n">
        <f aca="false">IF(Prowler!K203="critical",10, IF(Prowler!K203="high",7, IF(Prowler!K203="medium",5, 1)))</f>
        <v>1</v>
      </c>
      <c r="M203" s="3" t="n">
        <f aca="false">Prowler!A203</f>
        <v>0</v>
      </c>
      <c r="O203" s="4" t="str">
        <f aca="false">IF(Prowler!N203="", "", _xlfn.CONCAT("[{""key"":""",SUBSTITUTE(SUBSTITUTE(Prowler!N203,"=",""",""value"":""")," | ","""},{""key"":"""),"""}]"))</f>
        <v/>
      </c>
    </row>
    <row r="204" customFormat="false" ht="135.45" hidden="false" customHeight="false" outlineLevel="0" collapsed="false">
      <c r="B204" s="1" t="str">
        <f aca="false">UPPER(Prowler!C204)</f>
        <v/>
      </c>
      <c r="C204" s="1" t="str">
        <f aca="false">IF(Prowler!AL204&lt;&gt;"",Prowler!AL204, _xlfn.CONCAT("arn:aws:ec2:",F204,":",Prowler!AD204,":instance/",Prowler!AK204))</f>
        <v>arn:aws:ec2:::instance/</v>
      </c>
      <c r="F204" s="1" t="n">
        <f aca="false">Prowler!AJ204</f>
        <v>0</v>
      </c>
      <c r="G204" s="1" t="n">
        <f aca="false">Prowler!E204</f>
        <v>0</v>
      </c>
      <c r="H204" s="4" t="str">
        <f aca="false">_xlfn.TEXTJOIN(CHAR(10),1, Prowler!O204:Q204)</f>
        <v/>
      </c>
      <c r="I204" s="4" t="str">
        <f aca="false">_xlfn.TEXTJOIN(CHAR(10),1, Prowler!R204:W204)</f>
        <v/>
      </c>
      <c r="J204" s="1" t="n">
        <f aca="false">IF(Prowler!K204="critical",10, IF(Prowler!K204="high",7, IF(Prowler!K204="medium",5, 1)))</f>
        <v>1</v>
      </c>
      <c r="M204" s="3" t="n">
        <f aca="false">Prowler!A204</f>
        <v>0</v>
      </c>
      <c r="O204" s="4" t="str">
        <f aca="false">IF(Prowler!N204="", "", _xlfn.CONCAT("[{""key"":""",SUBSTITUTE(SUBSTITUTE(Prowler!N204,"=",""",""value"":""")," | ","""},{""key"":"""),"""}]"))</f>
        <v/>
      </c>
    </row>
    <row r="205" customFormat="false" ht="135.45" hidden="false" customHeight="false" outlineLevel="0" collapsed="false">
      <c r="B205" s="1" t="str">
        <f aca="false">UPPER(Prowler!C205)</f>
        <v/>
      </c>
      <c r="C205" s="1" t="str">
        <f aca="false">IF(Prowler!AL205&lt;&gt;"",Prowler!AL205, _xlfn.CONCAT("arn:aws:ec2:",F205,":",Prowler!AD205,":instance/",Prowler!AK205))</f>
        <v>arn:aws:ec2:::instance/</v>
      </c>
      <c r="F205" s="1" t="n">
        <f aca="false">Prowler!AJ205</f>
        <v>0</v>
      </c>
      <c r="G205" s="1" t="n">
        <f aca="false">Prowler!E205</f>
        <v>0</v>
      </c>
      <c r="H205" s="4" t="str">
        <f aca="false">_xlfn.TEXTJOIN(CHAR(10),1, Prowler!O205:Q205)</f>
        <v/>
      </c>
      <c r="I205" s="4" t="str">
        <f aca="false">_xlfn.TEXTJOIN(CHAR(10),1, Prowler!R205:W205)</f>
        <v/>
      </c>
      <c r="J205" s="1" t="n">
        <f aca="false">IF(Prowler!K205="critical",10, IF(Prowler!K205="high",7, IF(Prowler!K205="medium",5, 1)))</f>
        <v>1</v>
      </c>
      <c r="M205" s="3" t="n">
        <f aca="false">Prowler!A205</f>
        <v>0</v>
      </c>
      <c r="O205" s="4" t="str">
        <f aca="false">IF(Prowler!N205="", "", _xlfn.CONCAT("[{""key"":""",SUBSTITUTE(SUBSTITUTE(Prowler!N205,"=",""",""value"":""")," | ","""},{""key"":"""),"""}]"))</f>
        <v/>
      </c>
    </row>
    <row r="206" customFormat="false" ht="135.45" hidden="false" customHeight="false" outlineLevel="0" collapsed="false">
      <c r="B206" s="1" t="str">
        <f aca="false">UPPER(Prowler!C206)</f>
        <v/>
      </c>
      <c r="C206" s="1" t="str">
        <f aca="false">IF(Prowler!AL206&lt;&gt;"",Prowler!AL206, _xlfn.CONCAT("arn:aws:ec2:",F206,":",Prowler!AD206,":instance/",Prowler!AK206))</f>
        <v>arn:aws:ec2:::instance/</v>
      </c>
      <c r="F206" s="1" t="n">
        <f aca="false">Prowler!AJ206</f>
        <v>0</v>
      </c>
      <c r="G206" s="1" t="n">
        <f aca="false">Prowler!E206</f>
        <v>0</v>
      </c>
      <c r="H206" s="4" t="str">
        <f aca="false">_xlfn.TEXTJOIN(CHAR(10),1, Prowler!O206:Q206)</f>
        <v/>
      </c>
      <c r="I206" s="4" t="str">
        <f aca="false">_xlfn.TEXTJOIN(CHAR(10),1, Prowler!R206:W206)</f>
        <v/>
      </c>
      <c r="J206" s="1" t="n">
        <f aca="false">IF(Prowler!K206="critical",10, IF(Prowler!K206="high",7, IF(Prowler!K206="medium",5, 1)))</f>
        <v>1</v>
      </c>
      <c r="M206" s="3" t="n">
        <f aca="false">Prowler!A206</f>
        <v>0</v>
      </c>
      <c r="O206" s="4" t="str">
        <f aca="false">IF(Prowler!N206="", "", _xlfn.CONCAT("[{""key"":""",SUBSTITUTE(SUBSTITUTE(Prowler!N206,"=",""",""value"":""")," | ","""},{""key"":"""),"""}]"))</f>
        <v/>
      </c>
    </row>
    <row r="207" customFormat="false" ht="135.45" hidden="false" customHeight="false" outlineLevel="0" collapsed="false">
      <c r="B207" s="1" t="str">
        <f aca="false">UPPER(Prowler!C207)</f>
        <v/>
      </c>
      <c r="C207" s="1" t="str">
        <f aca="false">IF(Prowler!AL207&lt;&gt;"",Prowler!AL207, _xlfn.CONCAT("arn:aws:ec2:",F207,":",Prowler!AD207,":instance/",Prowler!AK207))</f>
        <v>arn:aws:ec2:::instance/</v>
      </c>
      <c r="F207" s="1" t="n">
        <f aca="false">Prowler!AJ207</f>
        <v>0</v>
      </c>
      <c r="G207" s="1" t="n">
        <f aca="false">Prowler!E207</f>
        <v>0</v>
      </c>
      <c r="H207" s="4" t="str">
        <f aca="false">_xlfn.TEXTJOIN(CHAR(10),1, Prowler!O207:Q207)</f>
        <v/>
      </c>
      <c r="I207" s="4" t="str">
        <f aca="false">_xlfn.TEXTJOIN(CHAR(10),1, Prowler!R207:W207)</f>
        <v/>
      </c>
      <c r="J207" s="1" t="n">
        <f aca="false">IF(Prowler!K207="critical",10, IF(Prowler!K207="high",7, IF(Prowler!K207="medium",5, 1)))</f>
        <v>1</v>
      </c>
      <c r="M207" s="3" t="n">
        <f aca="false">Prowler!A207</f>
        <v>0</v>
      </c>
      <c r="O207" s="4" t="str">
        <f aca="false">IF(Prowler!N207="", "", _xlfn.CONCAT("[{""key"":""",SUBSTITUTE(SUBSTITUTE(Prowler!N207,"=",""",""value"":""")," | ","""},{""key"":"""),"""}]"))</f>
        <v/>
      </c>
    </row>
    <row r="208" customFormat="false" ht="79.6" hidden="false" customHeight="false" outlineLevel="0" collapsed="false">
      <c r="B208" s="1" t="str">
        <f aca="false">UPPER(Prowler!C208)</f>
        <v/>
      </c>
      <c r="C208" s="1" t="str">
        <f aca="false">IF(Prowler!AL208&lt;&gt;"",Prowler!AL208, _xlfn.CONCAT("arn:aws:ec2:",F208,":",Prowler!AD208,":instance/",Prowler!AK208))</f>
        <v>arn:aws:ec2:::instance/</v>
      </c>
      <c r="F208" s="1" t="n">
        <f aca="false">Prowler!AJ208</f>
        <v>0</v>
      </c>
      <c r="G208" s="1" t="n">
        <f aca="false">Prowler!E208</f>
        <v>0</v>
      </c>
      <c r="H208" s="4" t="str">
        <f aca="false">_xlfn.TEXTJOIN(CHAR(10),1, Prowler!O208:Q208)</f>
        <v/>
      </c>
      <c r="I208" s="4" t="str">
        <f aca="false">_xlfn.TEXTJOIN(CHAR(10),1, Prowler!R208:W208)</f>
        <v/>
      </c>
      <c r="J208" s="1" t="n">
        <f aca="false">IF(Prowler!K208="critical",10, IF(Prowler!K208="high",7, IF(Prowler!K208="medium",5, 1)))</f>
        <v>1</v>
      </c>
      <c r="M208" s="3" t="n">
        <f aca="false">Prowler!A208</f>
        <v>0</v>
      </c>
      <c r="O208" s="4" t="str">
        <f aca="false">IF(Prowler!N208="", "", _xlfn.CONCAT("[{""key"":""",SUBSTITUTE(SUBSTITUTE(Prowler!N208,"=",""",""value"":""")," | ","""},{""key"":"""),"""}]"))</f>
        <v/>
      </c>
    </row>
    <row r="209" customFormat="false" ht="79.6" hidden="false" customHeight="false" outlineLevel="0" collapsed="false">
      <c r="B209" s="1" t="str">
        <f aca="false">UPPER(Prowler!C209)</f>
        <v/>
      </c>
      <c r="C209" s="1" t="str">
        <f aca="false">IF(Prowler!AL209&lt;&gt;"",Prowler!AL209, _xlfn.CONCAT("arn:aws:ec2:",F209,":",Prowler!AD209,":instance/",Prowler!AK209))</f>
        <v>arn:aws:ec2:::instance/</v>
      </c>
      <c r="F209" s="1" t="n">
        <f aca="false">Prowler!AJ209</f>
        <v>0</v>
      </c>
      <c r="G209" s="1" t="n">
        <f aca="false">Prowler!E209</f>
        <v>0</v>
      </c>
      <c r="H209" s="4" t="str">
        <f aca="false">_xlfn.TEXTJOIN(CHAR(10),1, Prowler!O209:Q209)</f>
        <v/>
      </c>
      <c r="I209" s="4" t="str">
        <f aca="false">_xlfn.TEXTJOIN(CHAR(10),1, Prowler!R209:W209)</f>
        <v/>
      </c>
      <c r="J209" s="1" t="n">
        <f aca="false">IF(Prowler!K209="critical",10, IF(Prowler!K209="high",7, IF(Prowler!K209="medium",5, 1)))</f>
        <v>1</v>
      </c>
      <c r="M209" s="3" t="n">
        <f aca="false">Prowler!A209</f>
        <v>0</v>
      </c>
      <c r="O209" s="4" t="str">
        <f aca="false">IF(Prowler!N209="", "", _xlfn.CONCAT("[{""key"":""",SUBSTITUTE(SUBSTITUTE(Prowler!N209,"=",""",""value"":""")," | ","""},{""key"":"""),"""}]"))</f>
        <v/>
      </c>
    </row>
    <row r="210" customFormat="false" ht="79.6" hidden="false" customHeight="false" outlineLevel="0" collapsed="false">
      <c r="B210" s="1" t="str">
        <f aca="false">UPPER(Prowler!C210)</f>
        <v/>
      </c>
      <c r="C210" s="1" t="str">
        <f aca="false">IF(Prowler!AL210&lt;&gt;"",Prowler!AL210, _xlfn.CONCAT("arn:aws:ec2:",F210,":",Prowler!AD210,":instance/",Prowler!AK210))</f>
        <v>arn:aws:ec2:::instance/</v>
      </c>
      <c r="F210" s="1" t="n">
        <f aca="false">Prowler!AJ210</f>
        <v>0</v>
      </c>
      <c r="G210" s="1" t="n">
        <f aca="false">Prowler!E210</f>
        <v>0</v>
      </c>
      <c r="H210" s="4" t="str">
        <f aca="false">_xlfn.TEXTJOIN(CHAR(10),1, Prowler!O210:Q210)</f>
        <v/>
      </c>
      <c r="I210" s="4" t="str">
        <f aca="false">_xlfn.TEXTJOIN(CHAR(10),1, Prowler!R210:W210)</f>
        <v/>
      </c>
      <c r="J210" s="1" t="n">
        <f aca="false">IF(Prowler!K210="critical",10, IF(Prowler!K210="high",7, IF(Prowler!K210="medium",5, 1)))</f>
        <v>1</v>
      </c>
      <c r="M210" s="3" t="n">
        <f aca="false">Prowler!A210</f>
        <v>0</v>
      </c>
      <c r="O210" s="4" t="str">
        <f aca="false">IF(Prowler!N210="", "", _xlfn.CONCAT("[{""key"":""",SUBSTITUTE(SUBSTITUTE(Prowler!N210,"=",""",""value"":""")," | ","""},{""key"":"""),"""}]"))</f>
        <v/>
      </c>
    </row>
    <row r="211" customFormat="false" ht="124.55" hidden="false" customHeight="false" outlineLevel="0" collapsed="false">
      <c r="B211" s="1" t="str">
        <f aca="false">UPPER(Prowler!C211)</f>
        <v/>
      </c>
      <c r="C211" s="1" t="str">
        <f aca="false">IF(Prowler!AL211&lt;&gt;"",Prowler!AL211, _xlfn.CONCAT("arn:aws:ec2:",F211,":",Prowler!AD211,":instance/",Prowler!AK211))</f>
        <v>arn:aws:ec2:::instance/</v>
      </c>
      <c r="F211" s="1" t="n">
        <f aca="false">Prowler!AJ211</f>
        <v>0</v>
      </c>
      <c r="G211" s="1" t="n">
        <f aca="false">Prowler!E211</f>
        <v>0</v>
      </c>
      <c r="H211" s="4" t="str">
        <f aca="false">_xlfn.TEXTJOIN(CHAR(10),1, Prowler!O211:Q211)</f>
        <v/>
      </c>
      <c r="I211" s="4" t="str">
        <f aca="false">_xlfn.TEXTJOIN(CHAR(10),1, Prowler!R211:W211)</f>
        <v/>
      </c>
      <c r="J211" s="1" t="n">
        <f aca="false">IF(Prowler!K211="critical",10, IF(Prowler!K211="high",7, IF(Prowler!K211="medium",5, 1)))</f>
        <v>1</v>
      </c>
      <c r="M211" s="3" t="n">
        <f aca="false">Prowler!A211</f>
        <v>0</v>
      </c>
      <c r="O211" s="4" t="str">
        <f aca="false">IF(Prowler!N211="", "", _xlfn.CONCAT("[{""key"":""",SUBSTITUTE(SUBSTITUTE(Prowler!N211,"=",""",""value"":""")," | ","""},{""key"":"""),"""}]"))</f>
        <v/>
      </c>
    </row>
    <row r="212" customFormat="false" ht="79.6" hidden="false" customHeight="false" outlineLevel="0" collapsed="false">
      <c r="B212" s="1" t="str">
        <f aca="false">UPPER(Prowler!C212)</f>
        <v/>
      </c>
      <c r="C212" s="1" t="str">
        <f aca="false">IF(Prowler!AL212&lt;&gt;"",Prowler!AL212, _xlfn.CONCAT("arn:aws:ec2:",F212,":",Prowler!AD212,":instance/",Prowler!AK212))</f>
        <v>arn:aws:ec2:::instance/</v>
      </c>
      <c r="F212" s="1" t="n">
        <f aca="false">Prowler!AJ212</f>
        <v>0</v>
      </c>
      <c r="G212" s="1" t="n">
        <f aca="false">Prowler!E212</f>
        <v>0</v>
      </c>
      <c r="H212" s="4" t="str">
        <f aca="false">_xlfn.TEXTJOIN(CHAR(10),1, Prowler!O212:Q212)</f>
        <v/>
      </c>
      <c r="I212" s="4" t="str">
        <f aca="false">_xlfn.TEXTJOIN(CHAR(10),1, Prowler!R212:W212)</f>
        <v/>
      </c>
      <c r="J212" s="1" t="n">
        <f aca="false">IF(Prowler!K212="critical",10, IF(Prowler!K212="high",7, IF(Prowler!K212="medium",5, 1)))</f>
        <v>1</v>
      </c>
      <c r="M212" s="3" t="n">
        <f aca="false">Prowler!A212</f>
        <v>0</v>
      </c>
      <c r="O212" s="4" t="str">
        <f aca="false">IF(Prowler!N212="", "", _xlfn.CONCAT("[{""key"":""",SUBSTITUTE(SUBSTITUTE(Prowler!N212,"=",""",""value"":""")," | ","""},{""key"":"""),"""}]"))</f>
        <v/>
      </c>
    </row>
    <row r="213" customFormat="false" ht="113.05" hidden="false" customHeight="false" outlineLevel="0" collapsed="false">
      <c r="B213" s="1" t="str">
        <f aca="false">UPPER(Prowler!C213)</f>
        <v/>
      </c>
      <c r="C213" s="1" t="str">
        <f aca="false">IF(Prowler!AL213&lt;&gt;"",Prowler!AL213, _xlfn.CONCAT("arn:aws:ec2:",F213,":",Prowler!AD213,":instance/",Prowler!AK213))</f>
        <v>arn:aws:ec2:::instance/</v>
      </c>
      <c r="F213" s="1" t="n">
        <f aca="false">Prowler!AJ213</f>
        <v>0</v>
      </c>
      <c r="G213" s="1" t="n">
        <f aca="false">Prowler!E213</f>
        <v>0</v>
      </c>
      <c r="H213" s="4" t="str">
        <f aca="false">_xlfn.TEXTJOIN(CHAR(10),1, Prowler!O213:Q213)</f>
        <v/>
      </c>
      <c r="I213" s="4" t="str">
        <f aca="false">_xlfn.TEXTJOIN(CHAR(10),1, Prowler!R213:W213)</f>
        <v/>
      </c>
      <c r="J213" s="1" t="n">
        <f aca="false">IF(Prowler!K213="critical",10, IF(Prowler!K213="high",7, IF(Prowler!K213="medium",5, 1)))</f>
        <v>1</v>
      </c>
      <c r="M213" s="3" t="n">
        <f aca="false">Prowler!A213</f>
        <v>0</v>
      </c>
      <c r="O213" s="4" t="str">
        <f aca="false">IF(Prowler!N213="", "", _xlfn.CONCAT("[{""key"":""",SUBSTITUTE(SUBSTITUTE(Prowler!N213,"=",""",""value"":""")," | ","""},{""key"":"""),"""}]"))</f>
        <v/>
      </c>
    </row>
    <row r="214" customFormat="false" ht="113.05" hidden="false" customHeight="false" outlineLevel="0" collapsed="false">
      <c r="B214" s="1" t="str">
        <f aca="false">UPPER(Prowler!C214)</f>
        <v/>
      </c>
      <c r="C214" s="1" t="str">
        <f aca="false">IF(Prowler!AL214&lt;&gt;"",Prowler!AL214, _xlfn.CONCAT("arn:aws:ec2:",F214,":",Prowler!AD214,":instance/",Prowler!AK214))</f>
        <v>arn:aws:ec2:::instance/</v>
      </c>
      <c r="F214" s="1" t="n">
        <f aca="false">Prowler!AJ214</f>
        <v>0</v>
      </c>
      <c r="G214" s="1" t="n">
        <f aca="false">Prowler!E214</f>
        <v>0</v>
      </c>
      <c r="H214" s="4" t="str">
        <f aca="false">_xlfn.TEXTJOIN(CHAR(10),1, Prowler!O214:Q214)</f>
        <v/>
      </c>
      <c r="I214" s="4" t="str">
        <f aca="false">_xlfn.TEXTJOIN(CHAR(10),1, Prowler!R214:W214)</f>
        <v/>
      </c>
      <c r="J214" s="1" t="n">
        <f aca="false">IF(Prowler!K214="critical",10, IF(Prowler!K214="high",7, IF(Prowler!K214="medium",5, 1)))</f>
        <v>1</v>
      </c>
      <c r="M214" s="3" t="n">
        <f aca="false">Prowler!A214</f>
        <v>0</v>
      </c>
      <c r="O214" s="4" t="str">
        <f aca="false">IF(Prowler!N214="", "", _xlfn.CONCAT("[{""key"":""",SUBSTITUTE(SUBSTITUTE(Prowler!N214,"=",""",""value"":""")," | ","""},{""key"":"""),"""}]"))</f>
        <v/>
      </c>
    </row>
    <row r="215" customFormat="false" ht="79.75" hidden="false" customHeight="false" outlineLevel="0" collapsed="false">
      <c r="B215" s="1" t="str">
        <f aca="false">UPPER(Prowler!C215)</f>
        <v/>
      </c>
      <c r="C215" s="1" t="str">
        <f aca="false">IF(Prowler!AL215&lt;&gt;"",Prowler!AL215, _xlfn.CONCAT("arn:aws:ec2:",F215,":",Prowler!AD215,":instance/",Prowler!AK215))</f>
        <v>arn:aws:ec2:::instance/</v>
      </c>
      <c r="F215" s="1" t="n">
        <f aca="false">Prowler!AJ215</f>
        <v>0</v>
      </c>
      <c r="G215" s="1" t="n">
        <f aca="false">Prowler!E215</f>
        <v>0</v>
      </c>
      <c r="H215" s="4" t="str">
        <f aca="false">_xlfn.TEXTJOIN(CHAR(10),1, Prowler!O215:Q215)</f>
        <v/>
      </c>
      <c r="I215" s="4" t="str">
        <f aca="false">_xlfn.TEXTJOIN(CHAR(10),1, Prowler!R215:W215)</f>
        <v/>
      </c>
      <c r="J215" s="1" t="n">
        <f aca="false">IF(Prowler!K215="critical",10, IF(Prowler!K215="high",7, IF(Prowler!K215="medium",5, 1)))</f>
        <v>1</v>
      </c>
      <c r="M215" s="3" t="n">
        <f aca="false">Prowler!A215</f>
        <v>0</v>
      </c>
      <c r="O215" s="4" t="str">
        <f aca="false">IF(Prowler!N215="", "", _xlfn.CONCAT("[{""key"":""",SUBSTITUTE(SUBSTITUTE(Prowler!N215,"=",""",""value"":""")," | ","""},{""key"":"""),"""}]"))</f>
        <v/>
      </c>
    </row>
    <row r="216" customFormat="false" ht="79.75" hidden="false" customHeight="false" outlineLevel="0" collapsed="false">
      <c r="B216" s="1" t="str">
        <f aca="false">UPPER(Prowler!C216)</f>
        <v/>
      </c>
      <c r="C216" s="1" t="str">
        <f aca="false">IF(Prowler!AL216&lt;&gt;"",Prowler!AL216, _xlfn.CONCAT("arn:aws:ec2:",F216,":",Prowler!AD216,":instance/",Prowler!AK216))</f>
        <v>arn:aws:ec2:::instance/</v>
      </c>
      <c r="F216" s="1" t="n">
        <f aca="false">Prowler!AJ216</f>
        <v>0</v>
      </c>
      <c r="G216" s="1" t="n">
        <f aca="false">Prowler!E216</f>
        <v>0</v>
      </c>
      <c r="H216" s="4" t="str">
        <f aca="false">_xlfn.TEXTJOIN(CHAR(10),1, Prowler!O216:Q216)</f>
        <v/>
      </c>
      <c r="I216" s="4" t="str">
        <f aca="false">_xlfn.TEXTJOIN(CHAR(10),1, Prowler!R216:W216)</f>
        <v/>
      </c>
      <c r="J216" s="1" t="n">
        <f aca="false">IF(Prowler!K216="critical",10, IF(Prowler!K216="high",7, IF(Prowler!K216="medium",5, 1)))</f>
        <v>1</v>
      </c>
      <c r="M216" s="3" t="n">
        <f aca="false">Prowler!A216</f>
        <v>0</v>
      </c>
      <c r="O216" s="4" t="str">
        <f aca="false">IF(Prowler!N216="", "", _xlfn.CONCAT("[{""key"":""",SUBSTITUTE(SUBSTITUTE(Prowler!N216,"=",""",""value"":""")," | ","""},{""key"":"""),"""}]"))</f>
        <v/>
      </c>
    </row>
    <row r="217" customFormat="false" ht="79.75" hidden="false" customHeight="false" outlineLevel="0" collapsed="false">
      <c r="B217" s="1" t="str">
        <f aca="false">UPPER(Prowler!C217)</f>
        <v/>
      </c>
      <c r="C217" s="1" t="str">
        <f aca="false">IF(Prowler!AL217&lt;&gt;"",Prowler!AL217, _xlfn.CONCAT("arn:aws:ec2:",F217,":",Prowler!AD217,":instance/",Prowler!AK217))</f>
        <v>arn:aws:ec2:::instance/</v>
      </c>
      <c r="F217" s="1" t="n">
        <f aca="false">Prowler!AJ217</f>
        <v>0</v>
      </c>
      <c r="G217" s="1" t="n">
        <f aca="false">Prowler!E217</f>
        <v>0</v>
      </c>
      <c r="H217" s="4" t="str">
        <f aca="false">_xlfn.TEXTJOIN(CHAR(10),1, Prowler!O217:Q217)</f>
        <v/>
      </c>
      <c r="I217" s="4" t="str">
        <f aca="false">_xlfn.TEXTJOIN(CHAR(10),1, Prowler!R217:W217)</f>
        <v/>
      </c>
      <c r="J217" s="1" t="n">
        <f aca="false">IF(Prowler!K217="critical",10, IF(Prowler!K217="high",7, IF(Prowler!K217="medium",5, 1)))</f>
        <v>1</v>
      </c>
      <c r="M217" s="3" t="n">
        <f aca="false">Prowler!A217</f>
        <v>0</v>
      </c>
      <c r="O217" s="4" t="str">
        <f aca="false">IF(Prowler!N217="", "", _xlfn.CONCAT("[{""key"":""",SUBSTITUTE(SUBSTITUTE(Prowler!N217,"=",""",""value"":""")," | ","""},{""key"":"""),"""}]"))</f>
        <v/>
      </c>
    </row>
    <row r="218" customFormat="false" ht="79.75" hidden="false" customHeight="false" outlineLevel="0" collapsed="false">
      <c r="B218" s="1" t="str">
        <f aca="false">UPPER(Prowler!C218)</f>
        <v/>
      </c>
      <c r="C218" s="1" t="str">
        <f aca="false">IF(Prowler!AL218&lt;&gt;"",Prowler!AL218, _xlfn.CONCAT("arn:aws:ec2:",F218,":",Prowler!AD218,":instance/",Prowler!AK218))</f>
        <v>arn:aws:ec2:::instance/</v>
      </c>
      <c r="F218" s="1" t="n">
        <f aca="false">Prowler!AJ218</f>
        <v>0</v>
      </c>
      <c r="G218" s="1" t="n">
        <f aca="false">Prowler!E218</f>
        <v>0</v>
      </c>
      <c r="H218" s="4" t="str">
        <f aca="false">_xlfn.TEXTJOIN(CHAR(10),1, Prowler!O218:Q218)</f>
        <v/>
      </c>
      <c r="I218" s="4" t="str">
        <f aca="false">_xlfn.TEXTJOIN(CHAR(10),1, Prowler!R218:W218)</f>
        <v/>
      </c>
      <c r="J218" s="1" t="n">
        <f aca="false">IF(Prowler!K218="critical",10, IF(Prowler!K218="high",7, IF(Prowler!K218="medium",5, 1)))</f>
        <v>1</v>
      </c>
      <c r="M218" s="3" t="n">
        <f aca="false">Prowler!A218</f>
        <v>0</v>
      </c>
      <c r="O218" s="4" t="str">
        <f aca="false">IF(Prowler!N218="", "", _xlfn.CONCAT("[{""key"":""",SUBSTITUTE(SUBSTITUTE(Prowler!N218,"=",""",""value"":""")," | ","""},{""key"":"""),"""}]"))</f>
        <v/>
      </c>
    </row>
    <row r="219" customFormat="false" ht="79.75" hidden="false" customHeight="false" outlineLevel="0" collapsed="false">
      <c r="B219" s="1" t="str">
        <f aca="false">UPPER(Prowler!C219)</f>
        <v/>
      </c>
      <c r="C219" s="1" t="str">
        <f aca="false">IF(Prowler!AL219&lt;&gt;"",Prowler!AL219, _xlfn.CONCAT("arn:aws:ec2:",F219,":",Prowler!AD219,":instance/",Prowler!AK219))</f>
        <v>arn:aws:ec2:::instance/</v>
      </c>
      <c r="F219" s="1" t="n">
        <f aca="false">Prowler!AJ219</f>
        <v>0</v>
      </c>
      <c r="G219" s="1" t="n">
        <f aca="false">Prowler!E219</f>
        <v>0</v>
      </c>
      <c r="H219" s="4" t="str">
        <f aca="false">_xlfn.TEXTJOIN(CHAR(10),1, Prowler!O219:Q219)</f>
        <v/>
      </c>
      <c r="I219" s="4" t="str">
        <f aca="false">_xlfn.TEXTJOIN(CHAR(10),1, Prowler!R219:W219)</f>
        <v/>
      </c>
      <c r="J219" s="1" t="n">
        <f aca="false">IF(Prowler!K219="critical",10, IF(Prowler!K219="high",7, IF(Prowler!K219="medium",5, 1)))</f>
        <v>1</v>
      </c>
      <c r="M219" s="3" t="n">
        <f aca="false">Prowler!A219</f>
        <v>0</v>
      </c>
      <c r="O219" s="4" t="str">
        <f aca="false">IF(Prowler!N219="", "", _xlfn.CONCAT("[{""key"":""",SUBSTITUTE(SUBSTITUTE(Prowler!N219,"=",""",""value"":""")," | ","""},{""key"":"""),"""}]"))</f>
        <v/>
      </c>
    </row>
    <row r="220" customFormat="false" ht="79.75" hidden="false" customHeight="false" outlineLevel="0" collapsed="false">
      <c r="B220" s="1" t="str">
        <f aca="false">UPPER(Prowler!C220)</f>
        <v/>
      </c>
      <c r="C220" s="1" t="str">
        <f aca="false">IF(Prowler!AL220&lt;&gt;"",Prowler!AL220, _xlfn.CONCAT("arn:aws:ec2:",F220,":",Prowler!AD220,":instance/",Prowler!AK220))</f>
        <v>arn:aws:ec2:::instance/</v>
      </c>
      <c r="F220" s="1" t="n">
        <f aca="false">Prowler!AJ220</f>
        <v>0</v>
      </c>
      <c r="G220" s="1" t="n">
        <f aca="false">Prowler!E220</f>
        <v>0</v>
      </c>
      <c r="H220" s="4" t="str">
        <f aca="false">_xlfn.TEXTJOIN(CHAR(10),1, Prowler!O220:Q220)</f>
        <v/>
      </c>
      <c r="I220" s="4" t="str">
        <f aca="false">_xlfn.TEXTJOIN(CHAR(10),1, Prowler!R220:W220)</f>
        <v/>
      </c>
      <c r="J220" s="1" t="n">
        <f aca="false">IF(Prowler!K220="critical",10, IF(Prowler!K220="high",7, IF(Prowler!K220="medium",5, 1)))</f>
        <v>1</v>
      </c>
      <c r="M220" s="3" t="n">
        <f aca="false">Prowler!A220</f>
        <v>0</v>
      </c>
      <c r="O220" s="4" t="str">
        <f aca="false">IF(Prowler!N220="", "", _xlfn.CONCAT("[{""key"":""",SUBSTITUTE(SUBSTITUTE(Prowler!N220,"=",""",""value"":""")," | ","""},{""key"":"""),"""}]"))</f>
        <v/>
      </c>
    </row>
    <row r="221" customFormat="false" ht="79.75" hidden="false" customHeight="false" outlineLevel="0" collapsed="false">
      <c r="B221" s="1" t="str">
        <f aca="false">UPPER(Prowler!C221)</f>
        <v/>
      </c>
      <c r="C221" s="1" t="str">
        <f aca="false">IF(Prowler!AL221&lt;&gt;"",Prowler!AL221, _xlfn.CONCAT("arn:aws:ec2:",F221,":",Prowler!AD221,":instance/",Prowler!AK221))</f>
        <v>arn:aws:ec2:::instance/</v>
      </c>
      <c r="F221" s="1" t="n">
        <f aca="false">Prowler!AJ221</f>
        <v>0</v>
      </c>
      <c r="G221" s="1" t="n">
        <f aca="false">Prowler!E221</f>
        <v>0</v>
      </c>
      <c r="H221" s="4" t="str">
        <f aca="false">_xlfn.TEXTJOIN(CHAR(10),1, Prowler!O221:Q221)</f>
        <v/>
      </c>
      <c r="I221" s="4" t="str">
        <f aca="false">_xlfn.TEXTJOIN(CHAR(10),1, Prowler!R221:W221)</f>
        <v/>
      </c>
      <c r="J221" s="1" t="n">
        <f aca="false">IF(Prowler!K221="critical",10, IF(Prowler!K221="high",7, IF(Prowler!K221="medium",5, 1)))</f>
        <v>1</v>
      </c>
      <c r="M221" s="3" t="n">
        <f aca="false">Prowler!A221</f>
        <v>0</v>
      </c>
      <c r="O221" s="4" t="str">
        <f aca="false">IF(Prowler!N221="", "", _xlfn.CONCAT("[{""key"":""",SUBSTITUTE(SUBSTITUTE(Prowler!N221,"=",""",""value"":""")," | ","""},{""key"":"""),"""}]"))</f>
        <v/>
      </c>
    </row>
    <row r="222" customFormat="false" ht="79.75" hidden="false" customHeight="false" outlineLevel="0" collapsed="false">
      <c r="B222" s="1" t="str">
        <f aca="false">UPPER(Prowler!C222)</f>
        <v/>
      </c>
      <c r="C222" s="1" t="str">
        <f aca="false">IF(Prowler!AL222&lt;&gt;"",Prowler!AL222, _xlfn.CONCAT("arn:aws:ec2:",F222,":",Prowler!AD222,":instance/",Prowler!AK222))</f>
        <v>arn:aws:ec2:::instance/</v>
      </c>
      <c r="F222" s="1" t="n">
        <f aca="false">Prowler!AJ222</f>
        <v>0</v>
      </c>
      <c r="G222" s="1" t="n">
        <f aca="false">Prowler!E222</f>
        <v>0</v>
      </c>
      <c r="H222" s="4" t="str">
        <f aca="false">_xlfn.TEXTJOIN(CHAR(10),1, Prowler!O222:Q222)</f>
        <v/>
      </c>
      <c r="I222" s="4" t="str">
        <f aca="false">_xlfn.TEXTJOIN(CHAR(10),1, Prowler!R222:W222)</f>
        <v/>
      </c>
      <c r="J222" s="1" t="n">
        <f aca="false">IF(Prowler!K222="critical",10, IF(Prowler!K222="high",7, IF(Prowler!K222="medium",5, 1)))</f>
        <v>1</v>
      </c>
      <c r="M222" s="3" t="n">
        <f aca="false">Prowler!A222</f>
        <v>0</v>
      </c>
      <c r="O222" s="4" t="str">
        <f aca="false">IF(Prowler!N222="", "", _xlfn.CONCAT("[{""key"":""",SUBSTITUTE(SUBSTITUTE(Prowler!N222,"=",""",""value"":""")," | ","""},{""key"":"""),"""}]"))</f>
        <v/>
      </c>
    </row>
    <row r="223" customFormat="false" ht="79.75" hidden="false" customHeight="false" outlineLevel="0" collapsed="false">
      <c r="B223" s="1" t="str">
        <f aca="false">UPPER(Prowler!C223)</f>
        <v/>
      </c>
      <c r="C223" s="1" t="str">
        <f aca="false">IF(Prowler!AL223&lt;&gt;"",Prowler!AL223, _xlfn.CONCAT("arn:aws:ec2:",F223,":",Prowler!AD223,":instance/",Prowler!AK223))</f>
        <v>arn:aws:ec2:::instance/</v>
      </c>
      <c r="F223" s="1" t="n">
        <f aca="false">Prowler!AJ223</f>
        <v>0</v>
      </c>
      <c r="G223" s="1" t="n">
        <f aca="false">Prowler!E223</f>
        <v>0</v>
      </c>
      <c r="H223" s="4" t="str">
        <f aca="false">_xlfn.TEXTJOIN(CHAR(10),1, Prowler!O223:Q223)</f>
        <v/>
      </c>
      <c r="I223" s="4" t="str">
        <f aca="false">_xlfn.TEXTJOIN(CHAR(10),1, Prowler!R223:W223)</f>
        <v/>
      </c>
      <c r="J223" s="1" t="n">
        <f aca="false">IF(Prowler!K223="critical",10, IF(Prowler!K223="high",7, IF(Prowler!K223="medium",5, 1)))</f>
        <v>1</v>
      </c>
      <c r="M223" s="3" t="n">
        <f aca="false">Prowler!A223</f>
        <v>0</v>
      </c>
      <c r="O223" s="4" t="str">
        <f aca="false">IF(Prowler!N223="", "", _xlfn.CONCAT("[{""key"":""",SUBSTITUTE(SUBSTITUTE(Prowler!N223,"=",""",""value"":""")," | ","""},{""key"":"""),"""}]"))</f>
        <v/>
      </c>
    </row>
    <row r="224" customFormat="false" ht="79.75" hidden="false" customHeight="false" outlineLevel="0" collapsed="false">
      <c r="B224" s="1" t="str">
        <f aca="false">UPPER(Prowler!C224)</f>
        <v/>
      </c>
      <c r="C224" s="1" t="str">
        <f aca="false">IF(Prowler!AL224&lt;&gt;"",Prowler!AL224, _xlfn.CONCAT("arn:aws:ec2:",F224,":",Prowler!AD224,":instance/",Prowler!AK224))</f>
        <v>arn:aws:ec2:::instance/</v>
      </c>
      <c r="F224" s="1" t="n">
        <f aca="false">Prowler!AJ224</f>
        <v>0</v>
      </c>
      <c r="G224" s="1" t="n">
        <f aca="false">Prowler!E224</f>
        <v>0</v>
      </c>
      <c r="H224" s="4" t="str">
        <f aca="false">_xlfn.TEXTJOIN(CHAR(10),1, Prowler!O224:Q224)</f>
        <v/>
      </c>
      <c r="I224" s="4" t="str">
        <f aca="false">_xlfn.TEXTJOIN(CHAR(10),1, Prowler!R224:W224)</f>
        <v/>
      </c>
      <c r="J224" s="1" t="n">
        <f aca="false">IF(Prowler!K224="critical",10, IF(Prowler!K224="high",7, IF(Prowler!K224="medium",5, 1)))</f>
        <v>1</v>
      </c>
      <c r="M224" s="3" t="n">
        <f aca="false">Prowler!A224</f>
        <v>0</v>
      </c>
      <c r="O224" s="4" t="str">
        <f aca="false">IF(Prowler!N224="", "", _xlfn.CONCAT("[{""key"":""",SUBSTITUTE(SUBSTITUTE(Prowler!N224,"=",""",""value"":""")," | ","""},{""key"":"""),"""}]"))</f>
        <v/>
      </c>
    </row>
    <row r="225" customFormat="false" ht="281.25" hidden="false" customHeight="false" outlineLevel="0" collapsed="false">
      <c r="B225" s="1" t="str">
        <f aca="false">UPPER(Prowler!C225)</f>
        <v/>
      </c>
      <c r="C225" s="1" t="str">
        <f aca="false">IF(Prowler!AL225&lt;&gt;"",Prowler!AL225, _xlfn.CONCAT("arn:aws:ec2:",F225,":",Prowler!AD225,":instance/",Prowler!AK225))</f>
        <v>arn:aws:ec2:::instance/</v>
      </c>
      <c r="F225" s="1" t="n">
        <f aca="false">Prowler!AJ225</f>
        <v>0</v>
      </c>
      <c r="G225" s="1" t="n">
        <f aca="false">Prowler!E225</f>
        <v>0</v>
      </c>
      <c r="H225" s="4" t="str">
        <f aca="false">_xlfn.TEXTJOIN(CHAR(10),1, Prowler!O225:Q225)</f>
        <v/>
      </c>
      <c r="I225" s="4" t="str">
        <f aca="false">_xlfn.TEXTJOIN(CHAR(10),1, Prowler!R225:W225)</f>
        <v/>
      </c>
      <c r="J225" s="1" t="n">
        <f aca="false">IF(Prowler!K225="critical",10, IF(Prowler!K225="high",7, IF(Prowler!K225="medium",5, 1)))</f>
        <v>1</v>
      </c>
      <c r="M225" s="3" t="n">
        <f aca="false">Prowler!A225</f>
        <v>0</v>
      </c>
      <c r="O225" s="4" t="str">
        <f aca="false">IF(Prowler!N225="", "", _xlfn.CONCAT("[{""key"":""",SUBSTITUTE(SUBSTITUTE(Prowler!N225,"=",""",""value"":""")," | ","""},{""key"":"""),"""}]"))</f>
        <v/>
      </c>
    </row>
    <row r="226" customFormat="false" ht="292.15" hidden="false" customHeight="false" outlineLevel="0" collapsed="false">
      <c r="B226" s="1" t="str">
        <f aca="false">UPPER(Prowler!C226)</f>
        <v/>
      </c>
      <c r="C226" s="1" t="str">
        <f aca="false">IF(Prowler!AL226&lt;&gt;"",Prowler!AL226, _xlfn.CONCAT("arn:aws:ec2:",F226,":",Prowler!AD226,":instance/",Prowler!AK226))</f>
        <v>arn:aws:ec2:::instance/</v>
      </c>
      <c r="F226" s="1" t="n">
        <f aca="false">Prowler!AJ226</f>
        <v>0</v>
      </c>
      <c r="G226" s="1" t="n">
        <f aca="false">Prowler!E226</f>
        <v>0</v>
      </c>
      <c r="H226" s="4" t="str">
        <f aca="false">_xlfn.TEXTJOIN(CHAR(10),1, Prowler!O226:Q226)</f>
        <v/>
      </c>
      <c r="I226" s="4" t="str">
        <f aca="false">_xlfn.TEXTJOIN(CHAR(10),1, Prowler!R226:W226)</f>
        <v/>
      </c>
      <c r="J226" s="1" t="n">
        <f aca="false">IF(Prowler!K226="critical",10, IF(Prowler!K226="high",7, IF(Prowler!K226="medium",5, 1)))</f>
        <v>1</v>
      </c>
      <c r="M226" s="3" t="n">
        <f aca="false">Prowler!A226</f>
        <v>0</v>
      </c>
      <c r="O226" s="4" t="str">
        <f aca="false">IF(Prowler!N226="", "", _xlfn.CONCAT("[{""key"":""",SUBSTITUTE(SUBSTITUTE(Prowler!N226,"=",""",""value"":""")," | ","""},{""key"":"""),"""}]"))</f>
        <v/>
      </c>
    </row>
    <row r="227" customFormat="false" ht="326.05" hidden="false" customHeight="false" outlineLevel="0" collapsed="false">
      <c r="B227" s="1" t="str">
        <f aca="false">UPPER(Prowler!C227)</f>
        <v/>
      </c>
      <c r="C227" s="1" t="str">
        <f aca="false">IF(Prowler!AL227&lt;&gt;"",Prowler!AL227, _xlfn.CONCAT("arn:aws:ec2:",F227,":",Prowler!AD227,":instance/",Prowler!AK227))</f>
        <v>arn:aws:ec2:::instance/</v>
      </c>
      <c r="F227" s="1" t="n">
        <f aca="false">Prowler!AJ227</f>
        <v>0</v>
      </c>
      <c r="G227" s="1" t="n">
        <f aca="false">Prowler!E227</f>
        <v>0</v>
      </c>
      <c r="H227" s="4" t="str">
        <f aca="false">_xlfn.TEXTJOIN(CHAR(10),1, Prowler!O227:Q227)</f>
        <v/>
      </c>
      <c r="I227" s="4" t="str">
        <f aca="false">_xlfn.TEXTJOIN(CHAR(10),1, Prowler!R227:W227)</f>
        <v/>
      </c>
      <c r="J227" s="1" t="n">
        <f aca="false">IF(Prowler!K227="critical",10, IF(Prowler!K227="high",7, IF(Prowler!K227="medium",5, 1)))</f>
        <v>1</v>
      </c>
      <c r="M227" s="3" t="n">
        <f aca="false">Prowler!A227</f>
        <v>0</v>
      </c>
      <c r="O227" s="4" t="str">
        <f aca="false">IF(Prowler!N227="", "", _xlfn.CONCAT("[{""key"":""",SUBSTITUTE(SUBSTITUTE(Prowler!N227,"=",""",""value"":""")," | ","""},{""key"":"""),"""}]"))</f>
        <v/>
      </c>
    </row>
    <row r="228" customFormat="false" ht="281.25" hidden="false" customHeight="false" outlineLevel="0" collapsed="false">
      <c r="B228" s="1" t="str">
        <f aca="false">UPPER(Prowler!C228)</f>
        <v/>
      </c>
      <c r="C228" s="1" t="str">
        <f aca="false">IF(Prowler!AL228&lt;&gt;"",Prowler!AL228, _xlfn.CONCAT("arn:aws:ec2:",F228,":",Prowler!AD228,":instance/",Prowler!AK228))</f>
        <v>arn:aws:ec2:::instance/</v>
      </c>
      <c r="F228" s="1" t="n">
        <f aca="false">Prowler!AJ228</f>
        <v>0</v>
      </c>
      <c r="G228" s="1" t="n">
        <f aca="false">Prowler!E228</f>
        <v>0</v>
      </c>
      <c r="H228" s="4" t="str">
        <f aca="false">_xlfn.TEXTJOIN(CHAR(10),1, Prowler!O228:Q228)</f>
        <v/>
      </c>
      <c r="I228" s="4" t="str">
        <f aca="false">_xlfn.TEXTJOIN(CHAR(10),1, Prowler!R228:W228)</f>
        <v/>
      </c>
      <c r="J228" s="1" t="n">
        <f aca="false">IF(Prowler!K228="critical",10, IF(Prowler!K228="high",7, IF(Prowler!K228="medium",5, 1)))</f>
        <v>1</v>
      </c>
      <c r="M228" s="3" t="n">
        <f aca="false">Prowler!A228</f>
        <v>0</v>
      </c>
      <c r="O228" s="4" t="str">
        <f aca="false">IF(Prowler!N228="", "", _xlfn.CONCAT("[{""key"":""",SUBSTITUTE(SUBSTITUTE(Prowler!N228,"=",""",""value"":""")," | ","""},{""key"":"""),"""}]"))</f>
        <v/>
      </c>
    </row>
    <row r="229" customFormat="false" ht="303.65" hidden="false" customHeight="false" outlineLevel="0" collapsed="false">
      <c r="B229" s="1" t="str">
        <f aca="false">UPPER(Prowler!C229)</f>
        <v/>
      </c>
      <c r="C229" s="1" t="str">
        <f aca="false">IF(Prowler!AL229&lt;&gt;"",Prowler!AL229, _xlfn.CONCAT("arn:aws:ec2:",F229,":",Prowler!AD229,":instance/",Prowler!AK229))</f>
        <v>arn:aws:ec2:::instance/</v>
      </c>
      <c r="F229" s="1" t="n">
        <f aca="false">Prowler!AJ229</f>
        <v>0</v>
      </c>
      <c r="G229" s="1" t="n">
        <f aca="false">Prowler!E229</f>
        <v>0</v>
      </c>
      <c r="H229" s="4" t="str">
        <f aca="false">_xlfn.TEXTJOIN(CHAR(10),1, Prowler!O229:Q229)</f>
        <v/>
      </c>
      <c r="I229" s="4" t="str">
        <f aca="false">_xlfn.TEXTJOIN(CHAR(10),1, Prowler!R229:W229)</f>
        <v/>
      </c>
      <c r="J229" s="1" t="n">
        <f aca="false">IF(Prowler!K229="critical",10, IF(Prowler!K229="high",7, IF(Prowler!K229="medium",5, 1)))</f>
        <v>1</v>
      </c>
      <c r="M229" s="3" t="n">
        <f aca="false">Prowler!A229</f>
        <v>0</v>
      </c>
      <c r="O229" s="4" t="str">
        <f aca="false">IF(Prowler!N229="", "", _xlfn.CONCAT("[{""key"":""",SUBSTITUTE(SUBSTITUTE(Prowler!N229,"=",""",""value"":""")," | ","""},{""key"":"""),"""}]"))</f>
        <v/>
      </c>
    </row>
    <row r="230" customFormat="false" ht="303.65" hidden="false" customHeight="false" outlineLevel="0" collapsed="false">
      <c r="B230" s="1" t="str">
        <f aca="false">UPPER(Prowler!C230)</f>
        <v/>
      </c>
      <c r="C230" s="1" t="str">
        <f aca="false">IF(Prowler!AL230&lt;&gt;"",Prowler!AL230, _xlfn.CONCAT("arn:aws:ec2:",F230,":",Prowler!AD230,":instance/",Prowler!AK230))</f>
        <v>arn:aws:ec2:::instance/</v>
      </c>
      <c r="F230" s="1" t="n">
        <f aca="false">Prowler!AJ230</f>
        <v>0</v>
      </c>
      <c r="G230" s="1" t="n">
        <f aca="false">Prowler!E230</f>
        <v>0</v>
      </c>
      <c r="H230" s="4" t="str">
        <f aca="false">_xlfn.TEXTJOIN(CHAR(10),1, Prowler!O230:Q230)</f>
        <v/>
      </c>
      <c r="I230" s="4" t="str">
        <f aca="false">_xlfn.TEXTJOIN(CHAR(10),1, Prowler!R230:W230)</f>
        <v/>
      </c>
      <c r="J230" s="1" t="n">
        <f aca="false">IF(Prowler!K230="critical",10, IF(Prowler!K230="high",7, IF(Prowler!K230="medium",5, 1)))</f>
        <v>1</v>
      </c>
      <c r="M230" s="3" t="n">
        <f aca="false">Prowler!A230</f>
        <v>0</v>
      </c>
      <c r="O230" s="4" t="str">
        <f aca="false">IF(Prowler!N230="", "", _xlfn.CONCAT("[{""key"":""",SUBSTITUTE(SUBSTITUTE(Prowler!N230,"=",""",""value"":""")," | ","""},{""key"":"""),"""}]"))</f>
        <v/>
      </c>
    </row>
    <row r="231" customFormat="false" ht="303.65" hidden="false" customHeight="false" outlineLevel="0" collapsed="false">
      <c r="B231" s="1" t="str">
        <f aca="false">UPPER(Prowler!C231)</f>
        <v/>
      </c>
      <c r="C231" s="1" t="str">
        <f aca="false">IF(Prowler!AL231&lt;&gt;"",Prowler!AL231, _xlfn.CONCAT("arn:aws:ec2:",F231,":",Prowler!AD231,":instance/",Prowler!AK231))</f>
        <v>arn:aws:ec2:::instance/</v>
      </c>
      <c r="F231" s="1" t="n">
        <f aca="false">Prowler!AJ231</f>
        <v>0</v>
      </c>
      <c r="G231" s="1" t="n">
        <f aca="false">Prowler!E231</f>
        <v>0</v>
      </c>
      <c r="H231" s="4" t="str">
        <f aca="false">_xlfn.TEXTJOIN(CHAR(10),1, Prowler!O231:Q231)</f>
        <v/>
      </c>
      <c r="I231" s="4" t="str">
        <f aca="false">_xlfn.TEXTJOIN(CHAR(10),1, Prowler!R231:W231)</f>
        <v/>
      </c>
      <c r="J231" s="1" t="n">
        <f aca="false">IF(Prowler!K231="critical",10, IF(Prowler!K231="high",7, IF(Prowler!K231="medium",5, 1)))</f>
        <v>1</v>
      </c>
      <c r="M231" s="3" t="n">
        <f aca="false">Prowler!A231</f>
        <v>0</v>
      </c>
      <c r="O231" s="4" t="str">
        <f aca="false">IF(Prowler!N231="", "", _xlfn.CONCAT("[{""key"":""",SUBSTITUTE(SUBSTITUTE(Prowler!N231,"=",""",""value"":""")," | ","""},{""key"":"""),"""}]"))</f>
        <v/>
      </c>
    </row>
    <row r="232" customFormat="false" ht="281.25" hidden="false" customHeight="false" outlineLevel="0" collapsed="false">
      <c r="B232" s="1" t="str">
        <f aca="false">UPPER(Prowler!C232)</f>
        <v/>
      </c>
      <c r="C232" s="1" t="str">
        <f aca="false">IF(Prowler!AL232&lt;&gt;"",Prowler!AL232, _xlfn.CONCAT("arn:aws:ec2:",F232,":",Prowler!AD232,":instance/",Prowler!AK232))</f>
        <v>arn:aws:ec2:::instance/</v>
      </c>
      <c r="F232" s="1" t="n">
        <f aca="false">Prowler!AJ232</f>
        <v>0</v>
      </c>
      <c r="G232" s="1" t="n">
        <f aca="false">Prowler!E232</f>
        <v>0</v>
      </c>
      <c r="H232" s="4" t="str">
        <f aca="false">_xlfn.TEXTJOIN(CHAR(10),1, Prowler!O232:Q232)</f>
        <v/>
      </c>
      <c r="I232" s="4" t="str">
        <f aca="false">_xlfn.TEXTJOIN(CHAR(10),1, Prowler!R232:W232)</f>
        <v/>
      </c>
      <c r="J232" s="1" t="n">
        <f aca="false">IF(Prowler!K232="critical",10, IF(Prowler!K232="high",7, IF(Prowler!K232="medium",5, 1)))</f>
        <v>1</v>
      </c>
      <c r="M232" s="3" t="n">
        <f aca="false">Prowler!A232</f>
        <v>0</v>
      </c>
      <c r="O232" s="4" t="str">
        <f aca="false">IF(Prowler!N232="", "", _xlfn.CONCAT("[{""key"":""",SUBSTITUTE(SUBSTITUTE(Prowler!N232,"=",""",""value"":""")," | ","""},{""key"":"""),"""}]"))</f>
        <v/>
      </c>
    </row>
    <row r="233" customFormat="false" ht="292.15" hidden="false" customHeight="false" outlineLevel="0" collapsed="false">
      <c r="B233" s="1" t="str">
        <f aca="false">UPPER(Prowler!C233)</f>
        <v/>
      </c>
      <c r="C233" s="1" t="str">
        <f aca="false">IF(Prowler!AL233&lt;&gt;"",Prowler!AL233, _xlfn.CONCAT("arn:aws:ec2:",F233,":",Prowler!AD233,":instance/",Prowler!AK233))</f>
        <v>arn:aws:ec2:::instance/</v>
      </c>
      <c r="F233" s="1" t="n">
        <f aca="false">Prowler!AJ233</f>
        <v>0</v>
      </c>
      <c r="G233" s="1" t="n">
        <f aca="false">Prowler!E233</f>
        <v>0</v>
      </c>
      <c r="H233" s="4" t="str">
        <f aca="false">_xlfn.TEXTJOIN(CHAR(10),1, Prowler!O233:Q233)</f>
        <v/>
      </c>
      <c r="I233" s="4" t="str">
        <f aca="false">_xlfn.TEXTJOIN(CHAR(10),1, Prowler!R233:W233)</f>
        <v/>
      </c>
      <c r="J233" s="1" t="n">
        <f aca="false">IF(Prowler!K233="critical",10, IF(Prowler!K233="high",7, IF(Prowler!K233="medium",5, 1)))</f>
        <v>1</v>
      </c>
      <c r="M233" s="3" t="n">
        <f aca="false">Prowler!A233</f>
        <v>0</v>
      </c>
      <c r="O233" s="4" t="str">
        <f aca="false">IF(Prowler!N233="", "", _xlfn.CONCAT("[{""key"":""",SUBSTITUTE(SUBSTITUTE(Prowler!N233,"=",""",""value"":""")," | ","""},{""key"":"""),"""}]"))</f>
        <v/>
      </c>
    </row>
    <row r="234" customFormat="false" ht="303.65" hidden="false" customHeight="false" outlineLevel="0" collapsed="false">
      <c r="B234" s="1" t="str">
        <f aca="false">UPPER(Prowler!C234)</f>
        <v/>
      </c>
      <c r="C234" s="1" t="str">
        <f aca="false">IF(Prowler!AL234&lt;&gt;"",Prowler!AL234, _xlfn.CONCAT("arn:aws:ec2:",F234,":",Prowler!AD234,":instance/",Prowler!AK234))</f>
        <v>arn:aws:ec2:::instance/</v>
      </c>
      <c r="F234" s="1" t="n">
        <f aca="false">Prowler!AJ234</f>
        <v>0</v>
      </c>
      <c r="G234" s="1" t="n">
        <f aca="false">Prowler!E234</f>
        <v>0</v>
      </c>
      <c r="H234" s="4" t="str">
        <f aca="false">_xlfn.TEXTJOIN(CHAR(10),1, Prowler!O234:Q234)</f>
        <v/>
      </c>
      <c r="I234" s="4" t="str">
        <f aca="false">_xlfn.TEXTJOIN(CHAR(10),1, Prowler!R234:W234)</f>
        <v/>
      </c>
      <c r="J234" s="1" t="n">
        <f aca="false">IF(Prowler!K234="critical",10, IF(Prowler!K234="high",7, IF(Prowler!K234="medium",5, 1)))</f>
        <v>1</v>
      </c>
      <c r="M234" s="3" t="n">
        <f aca="false">Prowler!A234</f>
        <v>0</v>
      </c>
      <c r="O234" s="4" t="str">
        <f aca="false">IF(Prowler!N234="", "", _xlfn.CONCAT("[{""key"":""",SUBSTITUTE(SUBSTITUTE(Prowler!N234,"=",""",""value"":""")," | ","""},{""key"":"""),"""}]"))</f>
        <v/>
      </c>
    </row>
    <row r="235" customFormat="false" ht="314.55" hidden="false" customHeight="false" outlineLevel="0" collapsed="false">
      <c r="B235" s="1" t="str">
        <f aca="false">UPPER(Prowler!C235)</f>
        <v/>
      </c>
      <c r="C235" s="1" t="str">
        <f aca="false">IF(Prowler!AL235&lt;&gt;"",Prowler!AL235, _xlfn.CONCAT("arn:aws:ec2:",F235,":",Prowler!AD235,":instance/",Prowler!AK235))</f>
        <v>arn:aws:ec2:::instance/</v>
      </c>
      <c r="F235" s="1" t="n">
        <f aca="false">Prowler!AJ235</f>
        <v>0</v>
      </c>
      <c r="G235" s="1" t="n">
        <f aca="false">Prowler!E235</f>
        <v>0</v>
      </c>
      <c r="H235" s="4" t="str">
        <f aca="false">_xlfn.TEXTJOIN(CHAR(10),1, Prowler!O235:Q235)</f>
        <v/>
      </c>
      <c r="I235" s="4" t="str">
        <f aca="false">_xlfn.TEXTJOIN(CHAR(10),1, Prowler!R235:W235)</f>
        <v/>
      </c>
      <c r="J235" s="1" t="n">
        <f aca="false">IF(Prowler!K235="critical",10, IF(Prowler!K235="high",7, IF(Prowler!K235="medium",5, 1)))</f>
        <v>1</v>
      </c>
      <c r="M235" s="3" t="n">
        <f aca="false">Prowler!A235</f>
        <v>0</v>
      </c>
      <c r="O235" s="4" t="str">
        <f aca="false">IF(Prowler!N235="", "", _xlfn.CONCAT("[{""key"":""",SUBSTITUTE(SUBSTITUTE(Prowler!N235,"=",""",""value"":""")," | ","""},{""key"":"""),"""}]"))</f>
        <v/>
      </c>
    </row>
    <row r="236" customFormat="false" ht="68.3" hidden="false" customHeight="false" outlineLevel="0" collapsed="false">
      <c r="B236" s="1" t="str">
        <f aca="false">UPPER(Prowler!C236)</f>
        <v/>
      </c>
      <c r="C236" s="1" t="str">
        <f aca="false">IF(Prowler!AL236&lt;&gt;"",Prowler!AL236, _xlfn.CONCAT("arn:aws:ec2:",F236,":",Prowler!AD236,":instance/",Prowler!AK236))</f>
        <v>arn:aws:ec2:::instance/</v>
      </c>
      <c r="F236" s="1" t="n">
        <f aca="false">Prowler!AJ236</f>
        <v>0</v>
      </c>
      <c r="G236" s="1" t="n">
        <f aca="false">Prowler!E236</f>
        <v>0</v>
      </c>
      <c r="H236" s="4" t="str">
        <f aca="false">_xlfn.TEXTJOIN(CHAR(10),1, Prowler!O236:Q236)</f>
        <v/>
      </c>
      <c r="I236" s="4" t="str">
        <f aca="false">_xlfn.TEXTJOIN(CHAR(10),1, Prowler!R236:W236)</f>
        <v/>
      </c>
      <c r="J236" s="1" t="n">
        <f aca="false">IF(Prowler!K236="critical",10, IF(Prowler!K236="high",7, IF(Prowler!K236="medium",5, 1)))</f>
        <v>1</v>
      </c>
      <c r="M236" s="3" t="n">
        <f aca="false">Prowler!A236</f>
        <v>0</v>
      </c>
      <c r="O236" s="4" t="str">
        <f aca="false">IF(Prowler!N236="", "", _xlfn.CONCAT("[{""key"":""",SUBSTITUTE(SUBSTITUTE(Prowler!N236,"=",""",""value"":""")," | ","""},{""key"":"""),"""}]"))</f>
        <v/>
      </c>
    </row>
    <row r="237" customFormat="false" ht="68.3" hidden="false" customHeight="false" outlineLevel="0" collapsed="false">
      <c r="B237" s="1" t="str">
        <f aca="false">UPPER(Prowler!C237)</f>
        <v/>
      </c>
      <c r="C237" s="1" t="str">
        <f aca="false">IF(Prowler!AL237&lt;&gt;"",Prowler!AL237, _xlfn.CONCAT("arn:aws:ec2:",F237,":",Prowler!AD237,":instance/",Prowler!AK237))</f>
        <v>arn:aws:ec2:::instance/</v>
      </c>
      <c r="F237" s="1" t="n">
        <f aca="false">Prowler!AJ237</f>
        <v>0</v>
      </c>
      <c r="G237" s="1" t="n">
        <f aca="false">Prowler!E237</f>
        <v>0</v>
      </c>
      <c r="H237" s="4" t="str">
        <f aca="false">_xlfn.TEXTJOIN(CHAR(10),1, Prowler!O237:Q237)</f>
        <v/>
      </c>
      <c r="I237" s="4" t="str">
        <f aca="false">_xlfn.TEXTJOIN(CHAR(10),1, Prowler!R237:W237)</f>
        <v/>
      </c>
      <c r="J237" s="1" t="n">
        <f aca="false">IF(Prowler!K237="critical",10, IF(Prowler!K237="high",7, IF(Prowler!K237="medium",5, 1)))</f>
        <v>1</v>
      </c>
      <c r="M237" s="3" t="n">
        <f aca="false">Prowler!A237</f>
        <v>0</v>
      </c>
      <c r="O237" s="4" t="str">
        <f aca="false">IF(Prowler!N237="", "", _xlfn.CONCAT("[{""key"":""",SUBSTITUTE(SUBSTITUTE(Prowler!N237,"=",""",""value"":""")," | ","""},{""key"":"""),"""}]"))</f>
        <v/>
      </c>
    </row>
    <row r="238" customFormat="false" ht="68.3" hidden="false" customHeight="false" outlineLevel="0" collapsed="false">
      <c r="B238" s="1" t="str">
        <f aca="false">UPPER(Prowler!C238)</f>
        <v/>
      </c>
      <c r="C238" s="1" t="str">
        <f aca="false">IF(Prowler!AL238&lt;&gt;"",Prowler!AL238, _xlfn.CONCAT("arn:aws:ec2:",F238,":",Prowler!AD238,":instance/",Prowler!AK238))</f>
        <v>arn:aws:ec2:::instance/</v>
      </c>
      <c r="F238" s="1" t="n">
        <f aca="false">Prowler!AJ238</f>
        <v>0</v>
      </c>
      <c r="G238" s="1" t="n">
        <f aca="false">Prowler!E238</f>
        <v>0</v>
      </c>
      <c r="H238" s="4" t="str">
        <f aca="false">_xlfn.TEXTJOIN(CHAR(10),1, Prowler!O238:Q238)</f>
        <v/>
      </c>
      <c r="I238" s="4" t="str">
        <f aca="false">_xlfn.TEXTJOIN(CHAR(10),1, Prowler!R238:W238)</f>
        <v/>
      </c>
      <c r="J238" s="1" t="n">
        <f aca="false">IF(Prowler!K238="critical",10, IF(Prowler!K238="high",7, IF(Prowler!K238="medium",5, 1)))</f>
        <v>1</v>
      </c>
      <c r="M238" s="3" t="n">
        <f aca="false">Prowler!A238</f>
        <v>0</v>
      </c>
      <c r="O238" s="4" t="str">
        <f aca="false">IF(Prowler!N238="", "", _xlfn.CONCAT("[{""key"":""",SUBSTITUTE(SUBSTITUTE(Prowler!N238,"=",""",""value"":""")," | ","""},{""key"":"""),"""}]"))</f>
        <v/>
      </c>
    </row>
    <row r="239" customFormat="false" ht="68.3" hidden="false" customHeight="false" outlineLevel="0" collapsed="false">
      <c r="B239" s="1" t="str">
        <f aca="false">UPPER(Prowler!C239)</f>
        <v/>
      </c>
      <c r="C239" s="1" t="str">
        <f aca="false">IF(Prowler!AL239&lt;&gt;"",Prowler!AL239, _xlfn.CONCAT("arn:aws:ec2:",F239,":",Prowler!AD239,":instance/",Prowler!AK239))</f>
        <v>arn:aws:ec2:::instance/</v>
      </c>
      <c r="F239" s="1" t="n">
        <f aca="false">Prowler!AJ239</f>
        <v>0</v>
      </c>
      <c r="G239" s="1" t="n">
        <f aca="false">Prowler!E239</f>
        <v>0</v>
      </c>
      <c r="H239" s="4" t="str">
        <f aca="false">_xlfn.TEXTJOIN(CHAR(10),1, Prowler!O239:Q239)</f>
        <v/>
      </c>
      <c r="I239" s="4" t="str">
        <f aca="false">_xlfn.TEXTJOIN(CHAR(10),1, Prowler!R239:W239)</f>
        <v/>
      </c>
      <c r="J239" s="1" t="n">
        <f aca="false">IF(Prowler!K239="critical",10, IF(Prowler!K239="high",7, IF(Prowler!K239="medium",5, 1)))</f>
        <v>1</v>
      </c>
      <c r="M239" s="3" t="n">
        <f aca="false">Prowler!A239</f>
        <v>0</v>
      </c>
      <c r="O239" s="4" t="str">
        <f aca="false">IF(Prowler!N239="", "", _xlfn.CONCAT("[{""key"":""",SUBSTITUTE(SUBSTITUTE(Prowler!N239,"=",""",""value"":""")," | ","""},{""key"":"""),"""}]"))</f>
        <v/>
      </c>
    </row>
    <row r="240" customFormat="false" ht="68.3" hidden="false" customHeight="false" outlineLevel="0" collapsed="false">
      <c r="B240" s="1" t="str">
        <f aca="false">UPPER(Prowler!C240)</f>
        <v/>
      </c>
      <c r="C240" s="1" t="str">
        <f aca="false">IF(Prowler!AL240&lt;&gt;"",Prowler!AL240, _xlfn.CONCAT("arn:aws:ec2:",F240,":",Prowler!AD240,":instance/",Prowler!AK240))</f>
        <v>arn:aws:ec2:::instance/</v>
      </c>
      <c r="F240" s="1" t="n">
        <f aca="false">Prowler!AJ240</f>
        <v>0</v>
      </c>
      <c r="G240" s="1" t="n">
        <f aca="false">Prowler!E240</f>
        <v>0</v>
      </c>
      <c r="H240" s="4" t="str">
        <f aca="false">_xlfn.TEXTJOIN(CHAR(10),1, Prowler!O240:Q240)</f>
        <v/>
      </c>
      <c r="I240" s="4" t="str">
        <f aca="false">_xlfn.TEXTJOIN(CHAR(10),1, Prowler!R240:W240)</f>
        <v/>
      </c>
      <c r="J240" s="1" t="n">
        <f aca="false">IF(Prowler!K240="critical",10, IF(Prowler!K240="high",7, IF(Prowler!K240="medium",5, 1)))</f>
        <v>1</v>
      </c>
      <c r="M240" s="3" t="n">
        <f aca="false">Prowler!A240</f>
        <v>0</v>
      </c>
      <c r="O240" s="4" t="str">
        <f aca="false">IF(Prowler!N240="", "", _xlfn.CONCAT("[{""key"":""",SUBSTITUTE(SUBSTITUTE(Prowler!N240,"=",""",""value"":""")," | ","""},{""key"":"""),"""}]"))</f>
        <v/>
      </c>
    </row>
    <row r="241" customFormat="false" ht="68.3" hidden="false" customHeight="false" outlineLevel="0" collapsed="false">
      <c r="B241" s="1" t="str">
        <f aca="false">UPPER(Prowler!C241)</f>
        <v/>
      </c>
      <c r="C241" s="1" t="str">
        <f aca="false">IF(Prowler!AL241&lt;&gt;"",Prowler!AL241, _xlfn.CONCAT("arn:aws:ec2:",F241,":",Prowler!AD241,":instance/",Prowler!AK241))</f>
        <v>arn:aws:ec2:::instance/</v>
      </c>
      <c r="F241" s="1" t="n">
        <f aca="false">Prowler!AJ241</f>
        <v>0</v>
      </c>
      <c r="G241" s="1" t="n">
        <f aca="false">Prowler!E241</f>
        <v>0</v>
      </c>
      <c r="H241" s="4" t="str">
        <f aca="false">_xlfn.TEXTJOIN(CHAR(10),1, Prowler!O241:Q241)</f>
        <v/>
      </c>
      <c r="I241" s="4" t="str">
        <f aca="false">_xlfn.TEXTJOIN(CHAR(10),1, Prowler!R241:W241)</f>
        <v/>
      </c>
      <c r="J241" s="1" t="n">
        <f aca="false">IF(Prowler!K241="critical",10, IF(Prowler!K241="high",7, IF(Prowler!K241="medium",5, 1)))</f>
        <v>1</v>
      </c>
      <c r="M241" s="3" t="n">
        <f aca="false">Prowler!A241</f>
        <v>0</v>
      </c>
      <c r="O241" s="4" t="str">
        <f aca="false">IF(Prowler!N241="", "", _xlfn.CONCAT("[{""key"":""",SUBSTITUTE(SUBSTITUTE(Prowler!N241,"=",""",""value"":""")," | ","""},{""key"":"""),"""}]"))</f>
        <v/>
      </c>
    </row>
    <row r="242" customFormat="false" ht="68.3" hidden="false" customHeight="false" outlineLevel="0" collapsed="false">
      <c r="B242" s="1" t="str">
        <f aca="false">UPPER(Prowler!C242)</f>
        <v/>
      </c>
      <c r="C242" s="1" t="str">
        <f aca="false">IF(Prowler!AL242&lt;&gt;"",Prowler!AL242, _xlfn.CONCAT("arn:aws:ec2:",F242,":",Prowler!AD242,":instance/",Prowler!AK242))</f>
        <v>arn:aws:ec2:::instance/</v>
      </c>
      <c r="F242" s="1" t="n">
        <f aca="false">Prowler!AJ242</f>
        <v>0</v>
      </c>
      <c r="G242" s="1" t="n">
        <f aca="false">Prowler!E242</f>
        <v>0</v>
      </c>
      <c r="H242" s="4" t="str">
        <f aca="false">_xlfn.TEXTJOIN(CHAR(10),1, Prowler!O242:Q242)</f>
        <v/>
      </c>
      <c r="I242" s="4" t="str">
        <f aca="false">_xlfn.TEXTJOIN(CHAR(10),1, Prowler!R242:W242)</f>
        <v/>
      </c>
      <c r="J242" s="1" t="n">
        <f aca="false">IF(Prowler!K242="critical",10, IF(Prowler!K242="high",7, IF(Prowler!K242="medium",5, 1)))</f>
        <v>1</v>
      </c>
      <c r="M242" s="3" t="n">
        <f aca="false">Prowler!A242</f>
        <v>0</v>
      </c>
      <c r="O242" s="4" t="str">
        <f aca="false">IF(Prowler!N242="", "", _xlfn.CONCAT("[{""key"":""",SUBSTITUTE(SUBSTITUTE(Prowler!N242,"=",""",""value"":""")," | ","""},{""key"":"""),"""}]"))</f>
        <v/>
      </c>
    </row>
    <row r="243" customFormat="false" ht="68.3" hidden="false" customHeight="false" outlineLevel="0" collapsed="false">
      <c r="B243" s="1" t="str">
        <f aca="false">UPPER(Prowler!C243)</f>
        <v/>
      </c>
      <c r="C243" s="1" t="str">
        <f aca="false">IF(Prowler!AL243&lt;&gt;"",Prowler!AL243, _xlfn.CONCAT("arn:aws:ec2:",F243,":",Prowler!AD243,":instance/",Prowler!AK243))</f>
        <v>arn:aws:ec2:::instance/</v>
      </c>
      <c r="F243" s="1" t="n">
        <f aca="false">Prowler!AJ243</f>
        <v>0</v>
      </c>
      <c r="G243" s="1" t="n">
        <f aca="false">Prowler!E243</f>
        <v>0</v>
      </c>
      <c r="H243" s="4" t="str">
        <f aca="false">_xlfn.TEXTJOIN(CHAR(10),1, Prowler!O243:Q243)</f>
        <v/>
      </c>
      <c r="I243" s="4" t="str">
        <f aca="false">_xlfn.TEXTJOIN(CHAR(10),1, Prowler!R243:W243)</f>
        <v/>
      </c>
      <c r="J243" s="1" t="n">
        <f aca="false">IF(Prowler!K243="critical",10, IF(Prowler!K243="high",7, IF(Prowler!K243="medium",5, 1)))</f>
        <v>1</v>
      </c>
      <c r="M243" s="3" t="n">
        <f aca="false">Prowler!A243</f>
        <v>0</v>
      </c>
      <c r="O243" s="4" t="str">
        <f aca="false">IF(Prowler!N243="", "", _xlfn.CONCAT("[{""key"":""",SUBSTITUTE(SUBSTITUTE(Prowler!N243,"=",""",""value"":""")," | ","""},{""key"":"""),"""}]"))</f>
        <v/>
      </c>
    </row>
    <row r="244" customFormat="false" ht="68.3" hidden="false" customHeight="false" outlineLevel="0" collapsed="false">
      <c r="B244" s="1" t="str">
        <f aca="false">UPPER(Prowler!C244)</f>
        <v/>
      </c>
      <c r="C244" s="1" t="str">
        <f aca="false">IF(Prowler!AL244&lt;&gt;"",Prowler!AL244, _xlfn.CONCAT("arn:aws:ec2:",F244,":",Prowler!AD244,":instance/",Prowler!AK244))</f>
        <v>arn:aws:ec2:::instance/</v>
      </c>
      <c r="F244" s="1" t="n">
        <f aca="false">Prowler!AJ244</f>
        <v>0</v>
      </c>
      <c r="G244" s="1" t="n">
        <f aca="false">Prowler!E244</f>
        <v>0</v>
      </c>
      <c r="H244" s="4" t="str">
        <f aca="false">_xlfn.TEXTJOIN(CHAR(10),1, Prowler!O244:Q244)</f>
        <v/>
      </c>
      <c r="I244" s="4" t="str">
        <f aca="false">_xlfn.TEXTJOIN(CHAR(10),1, Prowler!R244:W244)</f>
        <v/>
      </c>
      <c r="J244" s="1" t="n">
        <f aca="false">IF(Prowler!K244="critical",10, IF(Prowler!K244="high",7, IF(Prowler!K244="medium",5, 1)))</f>
        <v>1</v>
      </c>
      <c r="M244" s="3" t="n">
        <f aca="false">Prowler!A244</f>
        <v>0</v>
      </c>
      <c r="O244" s="4" t="str">
        <f aca="false">IF(Prowler!N244="", "", _xlfn.CONCAT("[{""key"":""",SUBSTITUTE(SUBSTITUTE(Prowler!N244,"=",""",""value"":""")," | ","""},{""key"":"""),"""}]"))</f>
        <v/>
      </c>
    </row>
    <row r="245" customFormat="false" ht="68.3" hidden="false" customHeight="false" outlineLevel="0" collapsed="false">
      <c r="B245" s="1" t="str">
        <f aca="false">UPPER(Prowler!C245)</f>
        <v/>
      </c>
      <c r="C245" s="1" t="str">
        <f aca="false">IF(Prowler!AL245&lt;&gt;"",Prowler!AL245, _xlfn.CONCAT("arn:aws:ec2:",F245,":",Prowler!AD245,":instance/",Prowler!AK245))</f>
        <v>arn:aws:ec2:::instance/</v>
      </c>
      <c r="F245" s="1" t="n">
        <f aca="false">Prowler!AJ245</f>
        <v>0</v>
      </c>
      <c r="G245" s="1" t="n">
        <f aca="false">Prowler!E245</f>
        <v>0</v>
      </c>
      <c r="H245" s="4" t="str">
        <f aca="false">_xlfn.TEXTJOIN(CHAR(10),1, Prowler!O245:Q245)</f>
        <v/>
      </c>
      <c r="I245" s="4" t="str">
        <f aca="false">_xlfn.TEXTJOIN(CHAR(10),1, Prowler!R245:W245)</f>
        <v/>
      </c>
      <c r="J245" s="1" t="n">
        <f aca="false">IF(Prowler!K245="critical",10, IF(Prowler!K245="high",7, IF(Prowler!K245="medium",5, 1)))</f>
        <v>1</v>
      </c>
      <c r="M245" s="3" t="n">
        <f aca="false">Prowler!A245</f>
        <v>0</v>
      </c>
      <c r="O245" s="4" t="str">
        <f aca="false">IF(Prowler!N245="", "", _xlfn.CONCAT("[{""key"":""",SUBSTITUTE(SUBSTITUTE(Prowler!N245,"=",""",""value"":""")," | ","""},{""key"":"""),"""}]"))</f>
        <v/>
      </c>
    </row>
    <row r="246" customFormat="false" ht="68.3" hidden="false" customHeight="false" outlineLevel="0" collapsed="false">
      <c r="B246" s="1" t="str">
        <f aca="false">UPPER(Prowler!C246)</f>
        <v/>
      </c>
      <c r="C246" s="1" t="str">
        <f aca="false">IF(Prowler!AL246&lt;&gt;"",Prowler!AL246, _xlfn.CONCAT("arn:aws:ec2:",F246,":",Prowler!AD246,":instance/",Prowler!AK246))</f>
        <v>arn:aws:ec2:::instance/</v>
      </c>
      <c r="F246" s="1" t="n">
        <f aca="false">Prowler!AJ246</f>
        <v>0</v>
      </c>
      <c r="G246" s="1" t="n">
        <f aca="false">Prowler!E246</f>
        <v>0</v>
      </c>
      <c r="H246" s="4" t="str">
        <f aca="false">_xlfn.TEXTJOIN(CHAR(10),1, Prowler!O246:Q246)</f>
        <v/>
      </c>
      <c r="I246" s="4" t="str">
        <f aca="false">_xlfn.TEXTJOIN(CHAR(10),1, Prowler!R246:W246)</f>
        <v/>
      </c>
      <c r="J246" s="1" t="n">
        <f aca="false">IF(Prowler!K246="critical",10, IF(Prowler!K246="high",7, IF(Prowler!K246="medium",5, 1)))</f>
        <v>1</v>
      </c>
      <c r="M246" s="3" t="n">
        <f aca="false">Prowler!A246</f>
        <v>0</v>
      </c>
      <c r="O246" s="4" t="str">
        <f aca="false">IF(Prowler!N246="", "", _xlfn.CONCAT("[{""key"":""",SUBSTITUTE(SUBSTITUTE(Prowler!N246,"=",""",""value"":""")," | ","""},{""key"":"""),"""}]"))</f>
        <v/>
      </c>
    </row>
    <row r="247" customFormat="false" ht="68.3" hidden="false" customHeight="false" outlineLevel="0" collapsed="false">
      <c r="B247" s="1" t="str">
        <f aca="false">UPPER(Prowler!C247)</f>
        <v/>
      </c>
      <c r="C247" s="1" t="str">
        <f aca="false">IF(Prowler!AL247&lt;&gt;"",Prowler!AL247, _xlfn.CONCAT("arn:aws:ec2:",F247,":",Prowler!AD247,":instance/",Prowler!AK247))</f>
        <v>arn:aws:ec2:::instance/</v>
      </c>
      <c r="F247" s="1" t="n">
        <f aca="false">Prowler!AJ247</f>
        <v>0</v>
      </c>
      <c r="G247" s="1" t="n">
        <f aca="false">Prowler!E247</f>
        <v>0</v>
      </c>
      <c r="H247" s="4" t="str">
        <f aca="false">_xlfn.TEXTJOIN(CHAR(10),1, Prowler!O247:Q247)</f>
        <v/>
      </c>
      <c r="I247" s="4" t="str">
        <f aca="false">_xlfn.TEXTJOIN(CHAR(10),1, Prowler!R247:W247)</f>
        <v/>
      </c>
      <c r="J247" s="1" t="n">
        <f aca="false">IF(Prowler!K247="critical",10, IF(Prowler!K247="high",7, IF(Prowler!K247="medium",5, 1)))</f>
        <v>1</v>
      </c>
      <c r="M247" s="3" t="n">
        <f aca="false">Prowler!A247</f>
        <v>0</v>
      </c>
      <c r="O247" s="4" t="str">
        <f aca="false">IF(Prowler!N247="", "", _xlfn.CONCAT("[{""key"":""",SUBSTITUTE(SUBSTITUTE(Prowler!N247,"=",""",""value"":""")," | ","""},{""key"":"""),"""}]"))</f>
        <v/>
      </c>
    </row>
    <row r="248" customFormat="false" ht="68.3" hidden="false" customHeight="false" outlineLevel="0" collapsed="false">
      <c r="B248" s="1" t="str">
        <f aca="false">UPPER(Prowler!C248)</f>
        <v/>
      </c>
      <c r="C248" s="1" t="str">
        <f aca="false">IF(Prowler!AL248&lt;&gt;"",Prowler!AL248, _xlfn.CONCAT("arn:aws:ec2:",F248,":",Prowler!AD248,":instance/",Prowler!AK248))</f>
        <v>arn:aws:ec2:::instance/</v>
      </c>
      <c r="F248" s="1" t="n">
        <f aca="false">Prowler!AJ248</f>
        <v>0</v>
      </c>
      <c r="G248" s="1" t="n">
        <f aca="false">Prowler!E248</f>
        <v>0</v>
      </c>
      <c r="H248" s="4" t="str">
        <f aca="false">_xlfn.TEXTJOIN(CHAR(10),1, Prowler!O248:Q248)</f>
        <v/>
      </c>
      <c r="I248" s="4" t="str">
        <f aca="false">_xlfn.TEXTJOIN(CHAR(10),1, Prowler!R248:W248)</f>
        <v/>
      </c>
      <c r="J248" s="1" t="n">
        <f aca="false">IF(Prowler!K248="critical",10, IF(Prowler!K248="high",7, IF(Prowler!K248="medium",5, 1)))</f>
        <v>1</v>
      </c>
      <c r="M248" s="3" t="n">
        <f aca="false">Prowler!A248</f>
        <v>0</v>
      </c>
      <c r="O248" s="4" t="str">
        <f aca="false">IF(Prowler!N248="", "", _xlfn.CONCAT("[{""key"":""",SUBSTITUTE(SUBSTITUTE(Prowler!N248,"=",""",""value"":""")," | ","""},{""key"":"""),"""}]"))</f>
        <v/>
      </c>
    </row>
    <row r="249" customFormat="false" ht="68.3" hidden="false" customHeight="false" outlineLevel="0" collapsed="false">
      <c r="B249" s="1" t="str">
        <f aca="false">UPPER(Prowler!C249)</f>
        <v/>
      </c>
      <c r="C249" s="1" t="str">
        <f aca="false">IF(Prowler!AL249&lt;&gt;"",Prowler!AL249, _xlfn.CONCAT("arn:aws:ec2:",F249,":",Prowler!AD249,":instance/",Prowler!AK249))</f>
        <v>arn:aws:ec2:::instance/</v>
      </c>
      <c r="F249" s="1" t="n">
        <f aca="false">Prowler!AJ249</f>
        <v>0</v>
      </c>
      <c r="G249" s="1" t="n">
        <f aca="false">Prowler!E249</f>
        <v>0</v>
      </c>
      <c r="H249" s="4" t="str">
        <f aca="false">_xlfn.TEXTJOIN(CHAR(10),1, Prowler!O249:Q249)</f>
        <v/>
      </c>
      <c r="I249" s="4" t="str">
        <f aca="false">_xlfn.TEXTJOIN(CHAR(10),1, Prowler!R249:W249)</f>
        <v/>
      </c>
      <c r="J249" s="1" t="n">
        <f aca="false">IF(Prowler!K249="critical",10, IF(Prowler!K249="high",7, IF(Prowler!K249="medium",5, 1)))</f>
        <v>1</v>
      </c>
      <c r="M249" s="3" t="n">
        <f aca="false">Prowler!A249</f>
        <v>0</v>
      </c>
      <c r="O249" s="4" t="str">
        <f aca="false">IF(Prowler!N249="", "", _xlfn.CONCAT("[{""key"":""",SUBSTITUTE(SUBSTITUTE(Prowler!N249,"=",""",""value"":""")," | ","""},{""key"":"""),"""}]"))</f>
        <v/>
      </c>
    </row>
    <row r="250" customFormat="false" ht="68.3" hidden="false" customHeight="false" outlineLevel="0" collapsed="false">
      <c r="B250" s="1" t="str">
        <f aca="false">UPPER(Prowler!C250)</f>
        <v/>
      </c>
      <c r="C250" s="1" t="str">
        <f aca="false">IF(Prowler!AL250&lt;&gt;"",Prowler!AL250, _xlfn.CONCAT("arn:aws:ec2:",F250,":",Prowler!AD250,":instance/",Prowler!AK250))</f>
        <v>arn:aws:ec2:::instance/</v>
      </c>
      <c r="F250" s="1" t="n">
        <f aca="false">Prowler!AJ250</f>
        <v>0</v>
      </c>
      <c r="G250" s="1" t="n">
        <f aca="false">Prowler!E250</f>
        <v>0</v>
      </c>
      <c r="H250" s="4" t="str">
        <f aca="false">_xlfn.TEXTJOIN(CHAR(10),1, Prowler!O250:Q250)</f>
        <v/>
      </c>
      <c r="I250" s="4" t="str">
        <f aca="false">_xlfn.TEXTJOIN(CHAR(10),1, Prowler!R250:W250)</f>
        <v/>
      </c>
      <c r="J250" s="1" t="n">
        <f aca="false">IF(Prowler!K250="critical",10, IF(Prowler!K250="high",7, IF(Prowler!K250="medium",5, 1)))</f>
        <v>1</v>
      </c>
      <c r="M250" s="3" t="n">
        <f aca="false">Prowler!A250</f>
        <v>0</v>
      </c>
      <c r="O250" s="4" t="str">
        <f aca="false">IF(Prowler!N250="", "", _xlfn.CONCAT("[{""key"":""",SUBSTITUTE(SUBSTITUTE(Prowler!N250,"=",""",""value"":""")," | ","""},{""key"":"""),"""}]"))</f>
        <v/>
      </c>
    </row>
    <row r="251" customFormat="false" ht="68.3" hidden="false" customHeight="false" outlineLevel="0" collapsed="false">
      <c r="B251" s="1" t="str">
        <f aca="false">UPPER(Prowler!C251)</f>
        <v/>
      </c>
      <c r="C251" s="1" t="str">
        <f aca="false">IF(Prowler!AL251&lt;&gt;"",Prowler!AL251, _xlfn.CONCAT("arn:aws:ec2:",F251,":",Prowler!AD251,":instance/",Prowler!AK251))</f>
        <v>arn:aws:ec2:::instance/</v>
      </c>
      <c r="F251" s="1" t="n">
        <f aca="false">Prowler!AJ251</f>
        <v>0</v>
      </c>
      <c r="G251" s="1" t="n">
        <f aca="false">Prowler!E251</f>
        <v>0</v>
      </c>
      <c r="H251" s="4" t="str">
        <f aca="false">_xlfn.TEXTJOIN(CHAR(10),1, Prowler!O251:Q251)</f>
        <v/>
      </c>
      <c r="I251" s="4" t="str">
        <f aca="false">_xlfn.TEXTJOIN(CHAR(10),1, Prowler!R251:W251)</f>
        <v/>
      </c>
      <c r="J251" s="1" t="n">
        <f aca="false">IF(Prowler!K251="critical",10, IF(Prowler!K251="high",7, IF(Prowler!K251="medium",5, 1)))</f>
        <v>1</v>
      </c>
      <c r="M251" s="3" t="n">
        <f aca="false">Prowler!A251</f>
        <v>0</v>
      </c>
      <c r="O251" s="4" t="str">
        <f aca="false">IF(Prowler!N251="", "", _xlfn.CONCAT("[{""key"":""",SUBSTITUTE(SUBSTITUTE(Prowler!N251,"=",""",""value"":""")," | ","""},{""key"":"""),"""}]"))</f>
        <v/>
      </c>
    </row>
    <row r="252" customFormat="false" ht="68.3" hidden="false" customHeight="false" outlineLevel="0" collapsed="false">
      <c r="B252" s="1" t="str">
        <f aca="false">UPPER(Prowler!C252)</f>
        <v/>
      </c>
      <c r="C252" s="1" t="str">
        <f aca="false">IF(Prowler!AL252&lt;&gt;"",Prowler!AL252, _xlfn.CONCAT("arn:aws:ec2:",F252,":",Prowler!AD252,":instance/",Prowler!AK252))</f>
        <v>arn:aws:ec2:::instance/</v>
      </c>
      <c r="F252" s="1" t="n">
        <f aca="false">Prowler!AJ252</f>
        <v>0</v>
      </c>
      <c r="G252" s="1" t="n">
        <f aca="false">Prowler!E252</f>
        <v>0</v>
      </c>
      <c r="H252" s="4" t="str">
        <f aca="false">_xlfn.TEXTJOIN(CHAR(10),1, Prowler!O252:Q252)</f>
        <v/>
      </c>
      <c r="I252" s="4" t="str">
        <f aca="false">_xlfn.TEXTJOIN(CHAR(10),1, Prowler!R252:W252)</f>
        <v/>
      </c>
      <c r="J252" s="1" t="n">
        <f aca="false">IF(Prowler!K252="critical",10, IF(Prowler!K252="high",7, IF(Prowler!K252="medium",5, 1)))</f>
        <v>1</v>
      </c>
      <c r="M252" s="3" t="n">
        <f aca="false">Prowler!A252</f>
        <v>0</v>
      </c>
      <c r="O252" s="4" t="str">
        <f aca="false">IF(Prowler!N252="", "", _xlfn.CONCAT("[{""key"":""",SUBSTITUTE(SUBSTITUTE(Prowler!N252,"=",""",""value"":""")," | ","""},{""key"":"""),"""}]"))</f>
        <v/>
      </c>
    </row>
    <row r="253" customFormat="false" ht="90.7" hidden="false" customHeight="false" outlineLevel="0" collapsed="false">
      <c r="B253" s="1" t="str">
        <f aca="false">UPPER(Prowler!C253)</f>
        <v/>
      </c>
      <c r="C253" s="1" t="str">
        <f aca="false">IF(Prowler!AL253&lt;&gt;"",Prowler!AL253, _xlfn.CONCAT("arn:aws:ec2:",F253,":",Prowler!AD253,":instance/",Prowler!AK253))</f>
        <v>arn:aws:ec2:::instance/</v>
      </c>
      <c r="F253" s="1" t="n">
        <f aca="false">Prowler!AJ253</f>
        <v>0</v>
      </c>
      <c r="G253" s="1" t="n">
        <f aca="false">Prowler!E253</f>
        <v>0</v>
      </c>
      <c r="H253" s="4" t="str">
        <f aca="false">_xlfn.TEXTJOIN(CHAR(10),1, Prowler!O253:Q253)</f>
        <v/>
      </c>
      <c r="I253" s="4" t="str">
        <f aca="false">_xlfn.TEXTJOIN(CHAR(10),1, Prowler!R253:W253)</f>
        <v/>
      </c>
      <c r="J253" s="1" t="n">
        <f aca="false">IF(Prowler!K253="critical",10, IF(Prowler!K253="high",7, IF(Prowler!K253="medium",5, 1)))</f>
        <v>1</v>
      </c>
      <c r="M253" s="3" t="n">
        <f aca="false">Prowler!A253</f>
        <v>0</v>
      </c>
      <c r="O253" s="4" t="str">
        <f aca="false">IF(Prowler!N253="", "", _xlfn.CONCAT("[{""key"":""",SUBSTITUTE(SUBSTITUTE(Prowler!N253,"=",""",""value"":""")," | ","""},{""key"":"""),"""}]"))</f>
        <v/>
      </c>
    </row>
    <row r="254" customFormat="false" ht="90.7" hidden="false" customHeight="false" outlineLevel="0" collapsed="false">
      <c r="B254" s="1" t="str">
        <f aca="false">UPPER(Prowler!C254)</f>
        <v/>
      </c>
      <c r="C254" s="1" t="str">
        <f aca="false">IF(Prowler!AL254&lt;&gt;"",Prowler!AL254, _xlfn.CONCAT("arn:aws:ec2:",F254,":",Prowler!AD254,":instance/",Prowler!AK254))</f>
        <v>arn:aws:ec2:::instance/</v>
      </c>
      <c r="F254" s="1" t="n">
        <f aca="false">Prowler!AJ254</f>
        <v>0</v>
      </c>
      <c r="G254" s="1" t="n">
        <f aca="false">Prowler!E254</f>
        <v>0</v>
      </c>
      <c r="H254" s="4" t="str">
        <f aca="false">_xlfn.TEXTJOIN(CHAR(10),1, Prowler!O254:Q254)</f>
        <v/>
      </c>
      <c r="I254" s="4" t="str">
        <f aca="false">_xlfn.TEXTJOIN(CHAR(10),1, Prowler!R254:W254)</f>
        <v/>
      </c>
      <c r="J254" s="1" t="n">
        <f aca="false">IF(Prowler!K254="critical",10, IF(Prowler!K254="high",7, IF(Prowler!K254="medium",5, 1)))</f>
        <v>1</v>
      </c>
      <c r="M254" s="3" t="n">
        <f aca="false">Prowler!A254</f>
        <v>0</v>
      </c>
      <c r="O254" s="4" t="str">
        <f aca="false">IF(Prowler!N254="", "", _xlfn.CONCAT("[{""key"":""",SUBSTITUTE(SUBSTITUTE(Prowler!N254,"=",""",""value"":""")," | ","""},{""key"":"""),"""}]"))</f>
        <v/>
      </c>
    </row>
    <row r="255" customFormat="false" ht="90.7" hidden="false" customHeight="false" outlineLevel="0" collapsed="false">
      <c r="B255" s="1" t="str">
        <f aca="false">UPPER(Prowler!C255)</f>
        <v/>
      </c>
      <c r="C255" s="1" t="str">
        <f aca="false">IF(Prowler!AL255&lt;&gt;"",Prowler!AL255, _xlfn.CONCAT("arn:aws:ec2:",F255,":",Prowler!AD255,":instance/",Prowler!AK255))</f>
        <v>arn:aws:ec2:::instance/</v>
      </c>
      <c r="F255" s="1" t="n">
        <f aca="false">Prowler!AJ255</f>
        <v>0</v>
      </c>
      <c r="G255" s="1" t="n">
        <f aca="false">Prowler!E255</f>
        <v>0</v>
      </c>
      <c r="H255" s="4" t="str">
        <f aca="false">_xlfn.TEXTJOIN(CHAR(10),1, Prowler!O255:Q255)</f>
        <v/>
      </c>
      <c r="I255" s="4" t="str">
        <f aca="false">_xlfn.TEXTJOIN(CHAR(10),1, Prowler!R255:W255)</f>
        <v/>
      </c>
      <c r="J255" s="1" t="n">
        <f aca="false">IF(Prowler!K255="critical",10, IF(Prowler!K255="high",7, IF(Prowler!K255="medium",5, 1)))</f>
        <v>1</v>
      </c>
      <c r="M255" s="3" t="n">
        <f aca="false">Prowler!A255</f>
        <v>0</v>
      </c>
      <c r="O255" s="4" t="str">
        <f aca="false">IF(Prowler!N255="", "", _xlfn.CONCAT("[{""key"":""",SUBSTITUTE(SUBSTITUTE(Prowler!N255,"=",""",""value"":""")," | ","""},{""key"":"""),"""}]"))</f>
        <v/>
      </c>
    </row>
    <row r="256" customFormat="false" ht="90.7" hidden="false" customHeight="false" outlineLevel="0" collapsed="false">
      <c r="B256" s="1" t="str">
        <f aca="false">UPPER(Prowler!C256)</f>
        <v/>
      </c>
      <c r="C256" s="1" t="str">
        <f aca="false">IF(Prowler!AL256&lt;&gt;"",Prowler!AL256, _xlfn.CONCAT("arn:aws:ec2:",F256,":",Prowler!AD256,":instance/",Prowler!AK256))</f>
        <v>arn:aws:ec2:::instance/</v>
      </c>
      <c r="F256" s="1" t="n">
        <f aca="false">Prowler!AJ256</f>
        <v>0</v>
      </c>
      <c r="G256" s="1" t="n">
        <f aca="false">Prowler!E256</f>
        <v>0</v>
      </c>
      <c r="H256" s="4" t="str">
        <f aca="false">_xlfn.TEXTJOIN(CHAR(10),1, Prowler!O256:Q256)</f>
        <v/>
      </c>
      <c r="I256" s="4" t="str">
        <f aca="false">_xlfn.TEXTJOIN(CHAR(10),1, Prowler!R256:W256)</f>
        <v/>
      </c>
      <c r="J256" s="1" t="n">
        <f aca="false">IF(Prowler!K256="critical",10, IF(Prowler!K256="high",7, IF(Prowler!K256="medium",5, 1)))</f>
        <v>1</v>
      </c>
      <c r="M256" s="3" t="n">
        <f aca="false">Prowler!A256</f>
        <v>0</v>
      </c>
      <c r="O256" s="4" t="str">
        <f aca="false">IF(Prowler!N256="", "", _xlfn.CONCAT("[{""key"":""",SUBSTITUTE(SUBSTITUTE(Prowler!N256,"=",""",""value"":""")," | ","""},{""key"":"""),"""}]"))</f>
        <v/>
      </c>
    </row>
    <row r="257" customFormat="false" ht="90.7" hidden="false" customHeight="false" outlineLevel="0" collapsed="false">
      <c r="B257" s="1" t="str">
        <f aca="false">UPPER(Prowler!C257)</f>
        <v/>
      </c>
      <c r="C257" s="1" t="str">
        <f aca="false">IF(Prowler!AL257&lt;&gt;"",Prowler!AL257, _xlfn.CONCAT("arn:aws:ec2:",F257,":",Prowler!AD257,":instance/",Prowler!AK257))</f>
        <v>arn:aws:ec2:::instance/</v>
      </c>
      <c r="F257" s="1" t="n">
        <f aca="false">Prowler!AJ257</f>
        <v>0</v>
      </c>
      <c r="G257" s="1" t="n">
        <f aca="false">Prowler!E257</f>
        <v>0</v>
      </c>
      <c r="H257" s="4" t="str">
        <f aca="false">_xlfn.TEXTJOIN(CHAR(10),1, Prowler!O257:Q257)</f>
        <v/>
      </c>
      <c r="I257" s="4" t="str">
        <f aca="false">_xlfn.TEXTJOIN(CHAR(10),1, Prowler!R257:W257)</f>
        <v/>
      </c>
      <c r="J257" s="1" t="n">
        <f aca="false">IF(Prowler!K257="critical",10, IF(Prowler!K257="high",7, IF(Prowler!K257="medium",5, 1)))</f>
        <v>1</v>
      </c>
      <c r="M257" s="3" t="n">
        <f aca="false">Prowler!A257</f>
        <v>0</v>
      </c>
      <c r="O257" s="4" t="str">
        <f aca="false">IF(Prowler!N257="", "", _xlfn.CONCAT("[{""key"":""",SUBSTITUTE(SUBSTITUTE(Prowler!N257,"=",""",""value"":""")," | ","""},{""key"":"""),"""}]"))</f>
        <v/>
      </c>
    </row>
    <row r="258" customFormat="false" ht="90.7" hidden="false" customHeight="false" outlineLevel="0" collapsed="false">
      <c r="B258" s="1" t="str">
        <f aca="false">UPPER(Prowler!C258)</f>
        <v/>
      </c>
      <c r="C258" s="1" t="str">
        <f aca="false">IF(Prowler!AL258&lt;&gt;"",Prowler!AL258, _xlfn.CONCAT("arn:aws:ec2:",F258,":",Prowler!AD258,":instance/",Prowler!AK258))</f>
        <v>arn:aws:ec2:::instance/</v>
      </c>
      <c r="F258" s="1" t="n">
        <f aca="false">Prowler!AJ258</f>
        <v>0</v>
      </c>
      <c r="G258" s="1" t="n">
        <f aca="false">Prowler!E258</f>
        <v>0</v>
      </c>
      <c r="H258" s="4" t="str">
        <f aca="false">_xlfn.TEXTJOIN(CHAR(10),1, Prowler!O258:Q258)</f>
        <v/>
      </c>
      <c r="I258" s="4" t="str">
        <f aca="false">_xlfn.TEXTJOIN(CHAR(10),1, Prowler!R258:W258)</f>
        <v/>
      </c>
      <c r="J258" s="1" t="n">
        <f aca="false">IF(Prowler!K258="critical",10, IF(Prowler!K258="high",7, IF(Prowler!K258="medium",5, 1)))</f>
        <v>1</v>
      </c>
      <c r="M258" s="3" t="n">
        <f aca="false">Prowler!A258</f>
        <v>0</v>
      </c>
      <c r="O258" s="4" t="str">
        <f aca="false">IF(Prowler!N258="", "", _xlfn.CONCAT("[{""key"":""",SUBSTITUTE(SUBSTITUTE(Prowler!N258,"=",""",""value"":""")," | ","""},{""key"":"""),"""}]"))</f>
        <v/>
      </c>
    </row>
    <row r="259" customFormat="false" ht="90.7" hidden="false" customHeight="false" outlineLevel="0" collapsed="false">
      <c r="B259" s="1" t="str">
        <f aca="false">UPPER(Prowler!C259)</f>
        <v/>
      </c>
      <c r="C259" s="1" t="str">
        <f aca="false">IF(Prowler!AL259&lt;&gt;"",Prowler!AL259, _xlfn.CONCAT("arn:aws:ec2:",F259,":",Prowler!AD259,":instance/",Prowler!AK259))</f>
        <v>arn:aws:ec2:::instance/</v>
      </c>
      <c r="F259" s="1" t="n">
        <f aca="false">Prowler!AJ259</f>
        <v>0</v>
      </c>
      <c r="G259" s="1" t="n">
        <f aca="false">Prowler!E259</f>
        <v>0</v>
      </c>
      <c r="H259" s="4" t="str">
        <f aca="false">_xlfn.TEXTJOIN(CHAR(10),1, Prowler!O259:Q259)</f>
        <v/>
      </c>
      <c r="I259" s="4" t="str">
        <f aca="false">_xlfn.TEXTJOIN(CHAR(10),1, Prowler!R259:W259)</f>
        <v/>
      </c>
      <c r="J259" s="1" t="n">
        <f aca="false">IF(Prowler!K259="critical",10, IF(Prowler!K259="high",7, IF(Prowler!K259="medium",5, 1)))</f>
        <v>1</v>
      </c>
      <c r="M259" s="3" t="n">
        <f aca="false">Prowler!A259</f>
        <v>0</v>
      </c>
      <c r="O259" s="4" t="str">
        <f aca="false">IF(Prowler!N259="", "", _xlfn.CONCAT("[{""key"":""",SUBSTITUTE(SUBSTITUTE(Prowler!N259,"=",""",""value"":""")," | ","""},{""key"":"""),"""}]"))</f>
        <v/>
      </c>
    </row>
    <row r="260" customFormat="false" ht="90.7" hidden="false" customHeight="false" outlineLevel="0" collapsed="false">
      <c r="B260" s="1" t="str">
        <f aca="false">UPPER(Prowler!C260)</f>
        <v/>
      </c>
      <c r="C260" s="1" t="str">
        <f aca="false">IF(Prowler!AL260&lt;&gt;"",Prowler!AL260, _xlfn.CONCAT("arn:aws:ec2:",F260,":",Prowler!AD260,":instance/",Prowler!AK260))</f>
        <v>arn:aws:ec2:::instance/</v>
      </c>
      <c r="F260" s="1" t="n">
        <f aca="false">Prowler!AJ260</f>
        <v>0</v>
      </c>
      <c r="G260" s="1" t="n">
        <f aca="false">Prowler!E260</f>
        <v>0</v>
      </c>
      <c r="H260" s="4" t="str">
        <f aca="false">_xlfn.TEXTJOIN(CHAR(10),1, Prowler!O260:Q260)</f>
        <v/>
      </c>
      <c r="I260" s="4" t="str">
        <f aca="false">_xlfn.TEXTJOIN(CHAR(10),1, Prowler!R260:W260)</f>
        <v/>
      </c>
      <c r="J260" s="1" t="n">
        <f aca="false">IF(Prowler!K260="critical",10, IF(Prowler!K260="high",7, IF(Prowler!K260="medium",5, 1)))</f>
        <v>1</v>
      </c>
      <c r="M260" s="3" t="n">
        <f aca="false">Prowler!A260</f>
        <v>0</v>
      </c>
      <c r="O260" s="4" t="str">
        <f aca="false">IF(Prowler!N260="", "", _xlfn.CONCAT("[{""key"":""",SUBSTITUTE(SUBSTITUTE(Prowler!N260,"=",""",""value"":""")," | ","""},{""key"":"""),"""}]"))</f>
        <v/>
      </c>
    </row>
    <row r="261" customFormat="false" ht="90.7" hidden="false" customHeight="false" outlineLevel="0" collapsed="false">
      <c r="B261" s="1" t="str">
        <f aca="false">UPPER(Prowler!C261)</f>
        <v/>
      </c>
      <c r="C261" s="1" t="str">
        <f aca="false">IF(Prowler!AL261&lt;&gt;"",Prowler!AL261, _xlfn.CONCAT("arn:aws:ec2:",F261,":",Prowler!AD261,":instance/",Prowler!AK261))</f>
        <v>arn:aws:ec2:::instance/</v>
      </c>
      <c r="F261" s="1" t="n">
        <f aca="false">Prowler!AJ261</f>
        <v>0</v>
      </c>
      <c r="G261" s="1" t="n">
        <f aca="false">Prowler!E261</f>
        <v>0</v>
      </c>
      <c r="H261" s="4" t="str">
        <f aca="false">_xlfn.TEXTJOIN(CHAR(10),1, Prowler!O261:Q261)</f>
        <v/>
      </c>
      <c r="I261" s="4" t="str">
        <f aca="false">_xlfn.TEXTJOIN(CHAR(10),1, Prowler!R261:W261)</f>
        <v/>
      </c>
      <c r="J261" s="1" t="n">
        <f aca="false">IF(Prowler!K261="critical",10, IF(Prowler!K261="high",7, IF(Prowler!K261="medium",5, 1)))</f>
        <v>1</v>
      </c>
      <c r="M261" s="3" t="n">
        <f aca="false">Prowler!A261</f>
        <v>0</v>
      </c>
      <c r="O261" s="4" t="str">
        <f aca="false">IF(Prowler!N261="", "", _xlfn.CONCAT("[{""key"":""",SUBSTITUTE(SUBSTITUTE(Prowler!N261,"=",""",""value"":""")," | ","""},{""key"":"""),"""}]"))</f>
        <v/>
      </c>
    </row>
    <row r="262" customFormat="false" ht="90.7" hidden="false" customHeight="false" outlineLevel="0" collapsed="false">
      <c r="B262" s="1" t="str">
        <f aca="false">UPPER(Prowler!C262)</f>
        <v/>
      </c>
      <c r="C262" s="1" t="str">
        <f aca="false">IF(Prowler!AL262&lt;&gt;"",Prowler!AL262, _xlfn.CONCAT("arn:aws:ec2:",F262,":",Prowler!AD262,":instance/",Prowler!AK262))</f>
        <v>arn:aws:ec2:::instance/</v>
      </c>
      <c r="F262" s="1" t="n">
        <f aca="false">Prowler!AJ262</f>
        <v>0</v>
      </c>
      <c r="G262" s="1" t="n">
        <f aca="false">Prowler!E262</f>
        <v>0</v>
      </c>
      <c r="H262" s="4" t="str">
        <f aca="false">_xlfn.TEXTJOIN(CHAR(10),1, Prowler!O262:Q262)</f>
        <v/>
      </c>
      <c r="I262" s="4" t="str">
        <f aca="false">_xlfn.TEXTJOIN(CHAR(10),1, Prowler!R262:W262)</f>
        <v/>
      </c>
      <c r="J262" s="1" t="n">
        <f aca="false">IF(Prowler!K262="critical",10, IF(Prowler!K262="high",7, IF(Prowler!K262="medium",5, 1)))</f>
        <v>1</v>
      </c>
      <c r="M262" s="3" t="n">
        <f aca="false">Prowler!A262</f>
        <v>0</v>
      </c>
      <c r="O262" s="4" t="str">
        <f aca="false">IF(Prowler!N262="", "", _xlfn.CONCAT("[{""key"":""",SUBSTITUTE(SUBSTITUTE(Prowler!N262,"=",""",""value"":""")," | ","""},{""key"":"""),"""}]"))</f>
        <v/>
      </c>
    </row>
    <row r="263" customFormat="false" ht="90.7" hidden="false" customHeight="false" outlineLevel="0" collapsed="false">
      <c r="B263" s="1" t="str">
        <f aca="false">UPPER(Prowler!C263)</f>
        <v/>
      </c>
      <c r="C263" s="1" t="str">
        <f aca="false">IF(Prowler!AL263&lt;&gt;"",Prowler!AL263, _xlfn.CONCAT("arn:aws:ec2:",F263,":",Prowler!AD263,":instance/",Prowler!AK263))</f>
        <v>arn:aws:ec2:::instance/</v>
      </c>
      <c r="F263" s="1" t="n">
        <f aca="false">Prowler!AJ263</f>
        <v>0</v>
      </c>
      <c r="G263" s="1" t="n">
        <f aca="false">Prowler!E263</f>
        <v>0</v>
      </c>
      <c r="H263" s="4" t="str">
        <f aca="false">_xlfn.TEXTJOIN(CHAR(10),1, Prowler!O263:Q263)</f>
        <v/>
      </c>
      <c r="I263" s="4" t="str">
        <f aca="false">_xlfn.TEXTJOIN(CHAR(10),1, Prowler!R263:W263)</f>
        <v/>
      </c>
      <c r="J263" s="1" t="n">
        <f aca="false">IF(Prowler!K263="critical",10, IF(Prowler!K263="high",7, IF(Prowler!K263="medium",5, 1)))</f>
        <v>1</v>
      </c>
      <c r="M263" s="3" t="n">
        <f aca="false">Prowler!A263</f>
        <v>0</v>
      </c>
      <c r="O263" s="4" t="str">
        <f aca="false">IF(Prowler!N263="", "", _xlfn.CONCAT("[{""key"":""",SUBSTITUTE(SUBSTITUTE(Prowler!N263,"=",""",""value"":""")," | ","""},{""key"":"""),"""}]"))</f>
        <v/>
      </c>
    </row>
    <row r="264" customFormat="false" ht="90.7" hidden="false" customHeight="false" outlineLevel="0" collapsed="false">
      <c r="B264" s="1" t="str">
        <f aca="false">UPPER(Prowler!C264)</f>
        <v/>
      </c>
      <c r="C264" s="1" t="str">
        <f aca="false">IF(Prowler!AL264&lt;&gt;"",Prowler!AL264, _xlfn.CONCAT("arn:aws:ec2:",F264,":",Prowler!AD264,":instance/",Prowler!AK264))</f>
        <v>arn:aws:ec2:::instance/</v>
      </c>
      <c r="F264" s="1" t="n">
        <f aca="false">Prowler!AJ264</f>
        <v>0</v>
      </c>
      <c r="G264" s="1" t="n">
        <f aca="false">Prowler!E264</f>
        <v>0</v>
      </c>
      <c r="H264" s="4" t="str">
        <f aca="false">_xlfn.TEXTJOIN(CHAR(10),1, Prowler!O264:Q264)</f>
        <v/>
      </c>
      <c r="I264" s="4" t="str">
        <f aca="false">_xlfn.TEXTJOIN(CHAR(10),1, Prowler!R264:W264)</f>
        <v/>
      </c>
      <c r="J264" s="1" t="n">
        <f aca="false">IF(Prowler!K264="critical",10, IF(Prowler!K264="high",7, IF(Prowler!K264="medium",5, 1)))</f>
        <v>1</v>
      </c>
      <c r="M264" s="3" t="n">
        <f aca="false">Prowler!A264</f>
        <v>0</v>
      </c>
      <c r="O264" s="4" t="str">
        <f aca="false">IF(Prowler!N264="", "", _xlfn.CONCAT("[{""key"":""",SUBSTITUTE(SUBSTITUTE(Prowler!N264,"=",""",""value"":""")," | ","""},{""key"":"""),"""}]"))</f>
        <v/>
      </c>
    </row>
    <row r="265" customFormat="false" ht="90.7" hidden="false" customHeight="false" outlineLevel="0" collapsed="false">
      <c r="B265" s="1" t="str">
        <f aca="false">UPPER(Prowler!C265)</f>
        <v/>
      </c>
      <c r="C265" s="1" t="str">
        <f aca="false">IF(Prowler!AL265&lt;&gt;"",Prowler!AL265, _xlfn.CONCAT("arn:aws:ec2:",F265,":",Prowler!AD265,":instance/",Prowler!AK265))</f>
        <v>arn:aws:ec2:::instance/</v>
      </c>
      <c r="F265" s="1" t="n">
        <f aca="false">Prowler!AJ265</f>
        <v>0</v>
      </c>
      <c r="G265" s="1" t="n">
        <f aca="false">Prowler!E265</f>
        <v>0</v>
      </c>
      <c r="H265" s="4" t="str">
        <f aca="false">_xlfn.TEXTJOIN(CHAR(10),1, Prowler!O265:Q265)</f>
        <v/>
      </c>
      <c r="I265" s="4" t="str">
        <f aca="false">_xlfn.TEXTJOIN(CHAR(10),1, Prowler!R265:W265)</f>
        <v/>
      </c>
      <c r="J265" s="1" t="n">
        <f aca="false">IF(Prowler!K265="critical",10, IF(Prowler!K265="high",7, IF(Prowler!K265="medium",5, 1)))</f>
        <v>1</v>
      </c>
      <c r="M265" s="3" t="n">
        <f aca="false">Prowler!A265</f>
        <v>0</v>
      </c>
      <c r="O265" s="4" t="str">
        <f aca="false">IF(Prowler!N265="", "", _xlfn.CONCAT("[{""key"":""",SUBSTITUTE(SUBSTITUTE(Prowler!N265,"=",""",""value"":""")," | ","""},{""key"":"""),"""}]"))</f>
        <v/>
      </c>
    </row>
    <row r="266" customFormat="false" ht="90.7" hidden="false" customHeight="false" outlineLevel="0" collapsed="false">
      <c r="B266" s="1" t="str">
        <f aca="false">UPPER(Prowler!C266)</f>
        <v/>
      </c>
      <c r="C266" s="1" t="str">
        <f aca="false">IF(Prowler!AL266&lt;&gt;"",Prowler!AL266, _xlfn.CONCAT("arn:aws:ec2:",F266,":",Prowler!AD266,":instance/",Prowler!AK266))</f>
        <v>arn:aws:ec2:::instance/</v>
      </c>
      <c r="F266" s="1" t="n">
        <f aca="false">Prowler!AJ266</f>
        <v>0</v>
      </c>
      <c r="G266" s="1" t="n">
        <f aca="false">Prowler!E266</f>
        <v>0</v>
      </c>
      <c r="H266" s="4" t="str">
        <f aca="false">_xlfn.TEXTJOIN(CHAR(10),1, Prowler!O266:Q266)</f>
        <v/>
      </c>
      <c r="I266" s="4" t="str">
        <f aca="false">_xlfn.TEXTJOIN(CHAR(10),1, Prowler!R266:W266)</f>
        <v/>
      </c>
      <c r="J266" s="1" t="n">
        <f aca="false">IF(Prowler!K266="critical",10, IF(Prowler!K266="high",7, IF(Prowler!K266="medium",5, 1)))</f>
        <v>1</v>
      </c>
      <c r="M266" s="3" t="n">
        <f aca="false">Prowler!A266</f>
        <v>0</v>
      </c>
      <c r="O266" s="4" t="str">
        <f aca="false">IF(Prowler!N266="", "", _xlfn.CONCAT("[{""key"":""",SUBSTITUTE(SUBSTITUTE(Prowler!N266,"=",""",""value"":""")," | ","""},{""key"":"""),"""}]"))</f>
        <v/>
      </c>
    </row>
    <row r="267" customFormat="false" ht="90.7" hidden="false" customHeight="false" outlineLevel="0" collapsed="false">
      <c r="B267" s="1" t="str">
        <f aca="false">UPPER(Prowler!C267)</f>
        <v/>
      </c>
      <c r="C267" s="1" t="str">
        <f aca="false">IF(Prowler!AL267&lt;&gt;"",Prowler!AL267, _xlfn.CONCAT("arn:aws:ec2:",F267,":",Prowler!AD267,":instance/",Prowler!AK267))</f>
        <v>arn:aws:ec2:::instance/</v>
      </c>
      <c r="F267" s="1" t="n">
        <f aca="false">Prowler!AJ267</f>
        <v>0</v>
      </c>
      <c r="G267" s="1" t="n">
        <f aca="false">Prowler!E267</f>
        <v>0</v>
      </c>
      <c r="H267" s="4" t="str">
        <f aca="false">_xlfn.TEXTJOIN(CHAR(10),1, Prowler!O267:Q267)</f>
        <v/>
      </c>
      <c r="I267" s="4" t="str">
        <f aca="false">_xlfn.TEXTJOIN(CHAR(10),1, Prowler!R267:W267)</f>
        <v/>
      </c>
      <c r="J267" s="1" t="n">
        <f aca="false">IF(Prowler!K267="critical",10, IF(Prowler!K267="high",7, IF(Prowler!K267="medium",5, 1)))</f>
        <v>1</v>
      </c>
      <c r="M267" s="3" t="n">
        <f aca="false">Prowler!A267</f>
        <v>0</v>
      </c>
      <c r="O267" s="4" t="str">
        <f aca="false">IF(Prowler!N267="", "", _xlfn.CONCAT("[{""key"":""",SUBSTITUTE(SUBSTITUTE(Prowler!N267,"=",""",""value"":""")," | ","""},{""key"":"""),"""}]"))</f>
        <v/>
      </c>
    </row>
    <row r="268" customFormat="false" ht="90.7" hidden="false" customHeight="false" outlineLevel="0" collapsed="false">
      <c r="B268" s="1" t="str">
        <f aca="false">UPPER(Prowler!C268)</f>
        <v/>
      </c>
      <c r="C268" s="1" t="str">
        <f aca="false">IF(Prowler!AL268&lt;&gt;"",Prowler!AL268, _xlfn.CONCAT("arn:aws:ec2:",F268,":",Prowler!AD268,":instance/",Prowler!AK268))</f>
        <v>arn:aws:ec2:::instance/</v>
      </c>
      <c r="F268" s="1" t="n">
        <f aca="false">Prowler!AJ268</f>
        <v>0</v>
      </c>
      <c r="G268" s="1" t="n">
        <f aca="false">Prowler!E268</f>
        <v>0</v>
      </c>
      <c r="H268" s="4" t="str">
        <f aca="false">_xlfn.TEXTJOIN(CHAR(10),1, Prowler!O268:Q268)</f>
        <v/>
      </c>
      <c r="I268" s="4" t="str">
        <f aca="false">_xlfn.TEXTJOIN(CHAR(10),1, Prowler!R268:W268)</f>
        <v/>
      </c>
      <c r="J268" s="1" t="n">
        <f aca="false">IF(Prowler!K268="critical",10, IF(Prowler!K268="high",7, IF(Prowler!K268="medium",5, 1)))</f>
        <v>1</v>
      </c>
      <c r="M268" s="3" t="n">
        <f aca="false">Prowler!A268</f>
        <v>0</v>
      </c>
      <c r="O268" s="4" t="str">
        <f aca="false">IF(Prowler!N268="", "", _xlfn.CONCAT("[{""key"":""",SUBSTITUTE(SUBSTITUTE(Prowler!N268,"=",""",""value"":""")," | ","""},{""key"":"""),"""}]"))</f>
        <v/>
      </c>
    </row>
    <row r="269" customFormat="false" ht="90.7" hidden="false" customHeight="false" outlineLevel="0" collapsed="false">
      <c r="B269" s="1" t="str">
        <f aca="false">UPPER(Prowler!C269)</f>
        <v/>
      </c>
      <c r="C269" s="1" t="str">
        <f aca="false">IF(Prowler!AL269&lt;&gt;"",Prowler!AL269, _xlfn.CONCAT("arn:aws:ec2:",F269,":",Prowler!AD269,":instance/",Prowler!AK269))</f>
        <v>arn:aws:ec2:::instance/</v>
      </c>
      <c r="F269" s="1" t="n">
        <f aca="false">Prowler!AJ269</f>
        <v>0</v>
      </c>
      <c r="G269" s="1" t="n">
        <f aca="false">Prowler!E269</f>
        <v>0</v>
      </c>
      <c r="H269" s="4" t="str">
        <f aca="false">_xlfn.TEXTJOIN(CHAR(10),1, Prowler!O269:Q269)</f>
        <v/>
      </c>
      <c r="I269" s="4" t="str">
        <f aca="false">_xlfn.TEXTJOIN(CHAR(10),1, Prowler!R269:W269)</f>
        <v/>
      </c>
      <c r="J269" s="1" t="n">
        <f aca="false">IF(Prowler!K269="critical",10, IF(Prowler!K269="high",7, IF(Prowler!K269="medium",5, 1)))</f>
        <v>1</v>
      </c>
      <c r="M269" s="3" t="n">
        <f aca="false">Prowler!A269</f>
        <v>0</v>
      </c>
      <c r="O269" s="4" t="str">
        <f aca="false">IF(Prowler!N269="", "", _xlfn.CONCAT("[{""key"":""",SUBSTITUTE(SUBSTITUTE(Prowler!N269,"=",""",""value"":""")," | ","""},{""key"":"""),"""}]"))</f>
        <v/>
      </c>
    </row>
    <row r="270" customFormat="false" ht="90.7" hidden="false" customHeight="false" outlineLevel="0" collapsed="false">
      <c r="B270" s="1" t="str">
        <f aca="false">UPPER(Prowler!C270)</f>
        <v/>
      </c>
      <c r="C270" s="1" t="str">
        <f aca="false">IF(Prowler!AL270&lt;&gt;"",Prowler!AL270, _xlfn.CONCAT("arn:aws:ec2:",F270,":",Prowler!AD270,":instance/",Prowler!AK270))</f>
        <v>arn:aws:ec2:::instance/</v>
      </c>
      <c r="F270" s="1" t="n">
        <f aca="false">Prowler!AJ270</f>
        <v>0</v>
      </c>
      <c r="G270" s="1" t="n">
        <f aca="false">Prowler!E270</f>
        <v>0</v>
      </c>
      <c r="H270" s="4" t="str">
        <f aca="false">_xlfn.TEXTJOIN(CHAR(10),1, Prowler!O270:Q270)</f>
        <v/>
      </c>
      <c r="I270" s="4" t="str">
        <f aca="false">_xlfn.TEXTJOIN(CHAR(10),1, Prowler!R270:W270)</f>
        <v/>
      </c>
      <c r="J270" s="1" t="n">
        <f aca="false">IF(Prowler!K270="critical",10, IF(Prowler!K270="high",7, IF(Prowler!K270="medium",5, 1)))</f>
        <v>1</v>
      </c>
      <c r="M270" s="3" t="n">
        <f aca="false">Prowler!A270</f>
        <v>0</v>
      </c>
      <c r="O270" s="4" t="str">
        <f aca="false">IF(Prowler!N270="", "", _xlfn.CONCAT("[{""key"":""",SUBSTITUTE(SUBSTITUTE(Prowler!N270,"=",""",""value"":""")," | ","""},{""key"":"""),"""}]"))</f>
        <v/>
      </c>
    </row>
    <row r="271" customFormat="false" ht="90.7" hidden="false" customHeight="false" outlineLevel="0" collapsed="false">
      <c r="B271" s="1" t="str">
        <f aca="false">UPPER(Prowler!C271)</f>
        <v/>
      </c>
      <c r="C271" s="1" t="str">
        <f aca="false">IF(Prowler!AL271&lt;&gt;"",Prowler!AL271, _xlfn.CONCAT("arn:aws:ec2:",F271,":",Prowler!AD271,":instance/",Prowler!AK271))</f>
        <v>arn:aws:ec2:::instance/</v>
      </c>
      <c r="F271" s="1" t="n">
        <f aca="false">Prowler!AJ271</f>
        <v>0</v>
      </c>
      <c r="G271" s="1" t="n">
        <f aca="false">Prowler!E271</f>
        <v>0</v>
      </c>
      <c r="H271" s="4" t="str">
        <f aca="false">_xlfn.TEXTJOIN(CHAR(10),1, Prowler!O271:Q271)</f>
        <v/>
      </c>
      <c r="I271" s="4" t="str">
        <f aca="false">_xlfn.TEXTJOIN(CHAR(10),1, Prowler!R271:W271)</f>
        <v/>
      </c>
      <c r="J271" s="1" t="n">
        <f aca="false">IF(Prowler!K271="critical",10, IF(Prowler!K271="high",7, IF(Prowler!K271="medium",5, 1)))</f>
        <v>1</v>
      </c>
      <c r="M271" s="3" t="n">
        <f aca="false">Prowler!A271</f>
        <v>0</v>
      </c>
      <c r="O271" s="4" t="str">
        <f aca="false">IF(Prowler!N271="", "", _xlfn.CONCAT("[{""key"":""",SUBSTITUTE(SUBSTITUTE(Prowler!N271,"=",""",""value"":""")," | ","""},{""key"":"""),"""}]"))</f>
        <v/>
      </c>
    </row>
    <row r="272" customFormat="false" ht="90.7" hidden="false" customHeight="false" outlineLevel="0" collapsed="false">
      <c r="B272" s="1" t="str">
        <f aca="false">UPPER(Prowler!C272)</f>
        <v/>
      </c>
      <c r="C272" s="1" t="str">
        <f aca="false">IF(Prowler!AL272&lt;&gt;"",Prowler!AL272, _xlfn.CONCAT("arn:aws:ec2:",F272,":",Prowler!AD272,":instance/",Prowler!AK272))</f>
        <v>arn:aws:ec2:::instance/</v>
      </c>
      <c r="F272" s="1" t="n">
        <f aca="false">Prowler!AJ272</f>
        <v>0</v>
      </c>
      <c r="G272" s="1" t="n">
        <f aca="false">Prowler!E272</f>
        <v>0</v>
      </c>
      <c r="H272" s="4" t="str">
        <f aca="false">_xlfn.TEXTJOIN(CHAR(10),1, Prowler!O272:Q272)</f>
        <v/>
      </c>
      <c r="I272" s="4" t="str">
        <f aca="false">_xlfn.TEXTJOIN(CHAR(10),1, Prowler!R272:W272)</f>
        <v/>
      </c>
      <c r="J272" s="1" t="n">
        <f aca="false">IF(Prowler!K272="critical",10, IF(Prowler!K272="high",7, IF(Prowler!K272="medium",5, 1)))</f>
        <v>1</v>
      </c>
      <c r="M272" s="3" t="n">
        <f aca="false">Prowler!A272</f>
        <v>0</v>
      </c>
      <c r="O272" s="4" t="str">
        <f aca="false">IF(Prowler!N272="", "", _xlfn.CONCAT("[{""key"":""",SUBSTITUTE(SUBSTITUTE(Prowler!N272,"=",""",""value"":""")," | ","""},{""key"":"""),"""}]"))</f>
        <v/>
      </c>
    </row>
    <row r="273" customFormat="false" ht="90.7" hidden="false" customHeight="false" outlineLevel="0" collapsed="false">
      <c r="B273" s="1" t="str">
        <f aca="false">UPPER(Prowler!C273)</f>
        <v/>
      </c>
      <c r="C273" s="1" t="str">
        <f aca="false">IF(Prowler!AL273&lt;&gt;"",Prowler!AL273, _xlfn.CONCAT("arn:aws:ec2:",F273,":",Prowler!AD273,":instance/",Prowler!AK273))</f>
        <v>arn:aws:ec2:::instance/</v>
      </c>
      <c r="F273" s="1" t="n">
        <f aca="false">Prowler!AJ273</f>
        <v>0</v>
      </c>
      <c r="G273" s="1" t="n">
        <f aca="false">Prowler!E273</f>
        <v>0</v>
      </c>
      <c r="H273" s="4" t="str">
        <f aca="false">_xlfn.TEXTJOIN(CHAR(10),1, Prowler!O273:Q273)</f>
        <v/>
      </c>
      <c r="I273" s="4" t="str">
        <f aca="false">_xlfn.TEXTJOIN(CHAR(10),1, Prowler!R273:W273)</f>
        <v/>
      </c>
      <c r="J273" s="1" t="n">
        <f aca="false">IF(Prowler!K273="critical",10, IF(Prowler!K273="high",7, IF(Prowler!K273="medium",5, 1)))</f>
        <v>1</v>
      </c>
      <c r="M273" s="3" t="n">
        <f aca="false">Prowler!A273</f>
        <v>0</v>
      </c>
      <c r="O273" s="4" t="str">
        <f aca="false">IF(Prowler!N273="", "", _xlfn.CONCAT("[{""key"":""",SUBSTITUTE(SUBSTITUTE(Prowler!N273,"=",""",""value"":""")," | ","""},{""key"":"""),"""}]"))</f>
        <v/>
      </c>
    </row>
    <row r="274" customFormat="false" ht="90.7" hidden="false" customHeight="false" outlineLevel="0" collapsed="false">
      <c r="B274" s="1" t="str">
        <f aca="false">UPPER(Prowler!C274)</f>
        <v/>
      </c>
      <c r="C274" s="1" t="str">
        <f aca="false">IF(Prowler!AL274&lt;&gt;"",Prowler!AL274, _xlfn.CONCAT("arn:aws:ec2:",F274,":",Prowler!AD274,":instance/",Prowler!AK274))</f>
        <v>arn:aws:ec2:::instance/</v>
      </c>
      <c r="F274" s="1" t="n">
        <f aca="false">Prowler!AJ274</f>
        <v>0</v>
      </c>
      <c r="G274" s="1" t="n">
        <f aca="false">Prowler!E274</f>
        <v>0</v>
      </c>
      <c r="H274" s="4" t="str">
        <f aca="false">_xlfn.TEXTJOIN(CHAR(10),1, Prowler!O274:Q274)</f>
        <v/>
      </c>
      <c r="I274" s="4" t="str">
        <f aca="false">_xlfn.TEXTJOIN(CHAR(10),1, Prowler!R274:W274)</f>
        <v/>
      </c>
      <c r="J274" s="1" t="n">
        <f aca="false">IF(Prowler!K274="critical",10, IF(Prowler!K274="high",7, IF(Prowler!K274="medium",5, 1)))</f>
        <v>1</v>
      </c>
      <c r="M274" s="3" t="n">
        <f aca="false">Prowler!A274</f>
        <v>0</v>
      </c>
      <c r="O274" s="4" t="str">
        <f aca="false">IF(Prowler!N274="", "", _xlfn.CONCAT("[{""key"":""",SUBSTITUTE(SUBSTITUTE(Prowler!N274,"=",""",""value"":""")," | ","""},{""key"":"""),"""}]"))</f>
        <v/>
      </c>
    </row>
    <row r="275" customFormat="false" ht="90.7" hidden="false" customHeight="false" outlineLevel="0" collapsed="false">
      <c r="B275" s="1" t="str">
        <f aca="false">UPPER(Prowler!C275)</f>
        <v/>
      </c>
      <c r="C275" s="1" t="str">
        <f aca="false">IF(Prowler!AL275&lt;&gt;"",Prowler!AL275, _xlfn.CONCAT("arn:aws:ec2:",F275,":",Prowler!AD275,":instance/",Prowler!AK275))</f>
        <v>arn:aws:ec2:::instance/</v>
      </c>
      <c r="F275" s="1" t="n">
        <f aca="false">Prowler!AJ275</f>
        <v>0</v>
      </c>
      <c r="G275" s="1" t="n">
        <f aca="false">Prowler!E275</f>
        <v>0</v>
      </c>
      <c r="H275" s="4" t="str">
        <f aca="false">_xlfn.TEXTJOIN(CHAR(10),1, Prowler!O275:Q275)</f>
        <v/>
      </c>
      <c r="I275" s="4" t="str">
        <f aca="false">_xlfn.TEXTJOIN(CHAR(10),1, Prowler!R275:W275)</f>
        <v/>
      </c>
      <c r="J275" s="1" t="n">
        <f aca="false">IF(Prowler!K275="critical",10, IF(Prowler!K275="high",7, IF(Prowler!K275="medium",5, 1)))</f>
        <v>1</v>
      </c>
      <c r="M275" s="3" t="n">
        <f aca="false">Prowler!A275</f>
        <v>0</v>
      </c>
      <c r="O275" s="4" t="str">
        <f aca="false">IF(Prowler!N275="", "", _xlfn.CONCAT("[{""key"":""",SUBSTITUTE(SUBSTITUTE(Prowler!N275,"=",""",""value"":""")," | ","""},{""key"":"""),"""}]"))</f>
        <v/>
      </c>
    </row>
    <row r="276" customFormat="false" ht="90.7" hidden="false" customHeight="false" outlineLevel="0" collapsed="false">
      <c r="B276" s="1" t="str">
        <f aca="false">UPPER(Prowler!C276)</f>
        <v/>
      </c>
      <c r="C276" s="1" t="str">
        <f aca="false">IF(Prowler!AL276&lt;&gt;"",Prowler!AL276, _xlfn.CONCAT("arn:aws:ec2:",F276,":",Prowler!AD276,":instance/",Prowler!AK276))</f>
        <v>arn:aws:ec2:::instance/</v>
      </c>
      <c r="F276" s="1" t="n">
        <f aca="false">Prowler!AJ276</f>
        <v>0</v>
      </c>
      <c r="G276" s="1" t="n">
        <f aca="false">Prowler!E276</f>
        <v>0</v>
      </c>
      <c r="H276" s="4" t="str">
        <f aca="false">_xlfn.TEXTJOIN(CHAR(10),1, Prowler!O276:Q276)</f>
        <v/>
      </c>
      <c r="I276" s="4" t="str">
        <f aca="false">_xlfn.TEXTJOIN(CHAR(10),1, Prowler!R276:W276)</f>
        <v/>
      </c>
      <c r="J276" s="1" t="n">
        <f aca="false">IF(Prowler!K276="critical",10, IF(Prowler!K276="high",7, IF(Prowler!K276="medium",5, 1)))</f>
        <v>1</v>
      </c>
      <c r="M276" s="3" t="n">
        <f aca="false">Prowler!A276</f>
        <v>0</v>
      </c>
      <c r="O276" s="4" t="str">
        <f aca="false">IF(Prowler!N276="", "", _xlfn.CONCAT("[{""key"":""",SUBSTITUTE(SUBSTITUTE(Prowler!N276,"=",""",""value"":""")," | ","""},{""key"":"""),"""}]"))</f>
        <v/>
      </c>
    </row>
    <row r="277" customFormat="false" ht="90.7" hidden="false" customHeight="false" outlineLevel="0" collapsed="false">
      <c r="B277" s="1" t="str">
        <f aca="false">UPPER(Prowler!C277)</f>
        <v/>
      </c>
      <c r="C277" s="1" t="str">
        <f aca="false">IF(Prowler!AL277&lt;&gt;"",Prowler!AL277, _xlfn.CONCAT("arn:aws:ec2:",F277,":",Prowler!AD277,":instance/",Prowler!AK277))</f>
        <v>arn:aws:ec2:::instance/</v>
      </c>
      <c r="F277" s="1" t="n">
        <f aca="false">Prowler!AJ277</f>
        <v>0</v>
      </c>
      <c r="G277" s="1" t="n">
        <f aca="false">Prowler!E277</f>
        <v>0</v>
      </c>
      <c r="H277" s="4" t="str">
        <f aca="false">_xlfn.TEXTJOIN(CHAR(10),1, Prowler!O277:Q277)</f>
        <v/>
      </c>
      <c r="I277" s="4" t="str">
        <f aca="false">_xlfn.TEXTJOIN(CHAR(10),1, Prowler!R277:W277)</f>
        <v/>
      </c>
      <c r="J277" s="1" t="n">
        <f aca="false">IF(Prowler!K277="critical",10, IF(Prowler!K277="high",7, IF(Prowler!K277="medium",5, 1)))</f>
        <v>1</v>
      </c>
      <c r="M277" s="3" t="n">
        <f aca="false">Prowler!A277</f>
        <v>0</v>
      </c>
      <c r="O277" s="4" t="str">
        <f aca="false">IF(Prowler!N277="", "", _xlfn.CONCAT("[{""key"":""",SUBSTITUTE(SUBSTITUTE(Prowler!N277,"=",""",""value"":""")," | ","""},{""key"":"""),"""}]"))</f>
        <v/>
      </c>
    </row>
    <row r="278" customFormat="false" ht="90.7" hidden="false" customHeight="false" outlineLevel="0" collapsed="false">
      <c r="B278" s="1" t="str">
        <f aca="false">UPPER(Prowler!C278)</f>
        <v/>
      </c>
      <c r="C278" s="1" t="str">
        <f aca="false">IF(Prowler!AL278&lt;&gt;"",Prowler!AL278, _xlfn.CONCAT("arn:aws:ec2:",F278,":",Prowler!AD278,":instance/",Prowler!AK278))</f>
        <v>arn:aws:ec2:::instance/</v>
      </c>
      <c r="F278" s="1" t="n">
        <f aca="false">Prowler!AJ278</f>
        <v>0</v>
      </c>
      <c r="G278" s="1" t="n">
        <f aca="false">Prowler!E278</f>
        <v>0</v>
      </c>
      <c r="H278" s="4" t="str">
        <f aca="false">_xlfn.TEXTJOIN(CHAR(10),1, Prowler!O278:Q278)</f>
        <v/>
      </c>
      <c r="I278" s="4" t="str">
        <f aca="false">_xlfn.TEXTJOIN(CHAR(10),1, Prowler!R278:W278)</f>
        <v/>
      </c>
      <c r="J278" s="1" t="n">
        <f aca="false">IF(Prowler!K278="critical",10, IF(Prowler!K278="high",7, IF(Prowler!K278="medium",5, 1)))</f>
        <v>1</v>
      </c>
      <c r="M278" s="3" t="n">
        <f aca="false">Prowler!A278</f>
        <v>0</v>
      </c>
      <c r="O278" s="4" t="str">
        <f aca="false">IF(Prowler!N278="", "", _xlfn.CONCAT("[{""key"":""",SUBSTITUTE(SUBSTITUTE(Prowler!N278,"=",""",""value"":""")," | ","""},{""key"":"""),"""}]"))</f>
        <v/>
      </c>
    </row>
    <row r="279" customFormat="false" ht="90.7" hidden="false" customHeight="false" outlineLevel="0" collapsed="false">
      <c r="B279" s="1" t="str">
        <f aca="false">UPPER(Prowler!C279)</f>
        <v/>
      </c>
      <c r="C279" s="1" t="str">
        <f aca="false">IF(Prowler!AL279&lt;&gt;"",Prowler!AL279, _xlfn.CONCAT("arn:aws:ec2:",F279,":",Prowler!AD279,":instance/",Prowler!AK279))</f>
        <v>arn:aws:ec2:::instance/</v>
      </c>
      <c r="F279" s="1" t="n">
        <f aca="false">Prowler!AJ279</f>
        <v>0</v>
      </c>
      <c r="G279" s="1" t="n">
        <f aca="false">Prowler!E279</f>
        <v>0</v>
      </c>
      <c r="H279" s="4" t="str">
        <f aca="false">_xlfn.TEXTJOIN(CHAR(10),1, Prowler!O279:Q279)</f>
        <v/>
      </c>
      <c r="I279" s="4" t="str">
        <f aca="false">_xlfn.TEXTJOIN(CHAR(10),1, Prowler!R279:W279)</f>
        <v/>
      </c>
      <c r="J279" s="1" t="n">
        <f aca="false">IF(Prowler!K279="critical",10, IF(Prowler!K279="high",7, IF(Prowler!K279="medium",5, 1)))</f>
        <v>1</v>
      </c>
      <c r="M279" s="3" t="n">
        <f aca="false">Prowler!A279</f>
        <v>0</v>
      </c>
      <c r="O279" s="4" t="str">
        <f aca="false">IF(Prowler!N279="", "", _xlfn.CONCAT("[{""key"":""",SUBSTITUTE(SUBSTITUTE(Prowler!N279,"=",""",""value"":""")," | ","""},{""key"":"""),"""}]"))</f>
        <v/>
      </c>
    </row>
    <row r="280" customFormat="false" ht="90.7" hidden="false" customHeight="false" outlineLevel="0" collapsed="false">
      <c r="B280" s="1" t="str">
        <f aca="false">UPPER(Prowler!C280)</f>
        <v/>
      </c>
      <c r="C280" s="1" t="str">
        <f aca="false">IF(Prowler!AL280&lt;&gt;"",Prowler!AL280, _xlfn.CONCAT("arn:aws:ec2:",F280,":",Prowler!AD280,":instance/",Prowler!AK280))</f>
        <v>arn:aws:ec2:::instance/</v>
      </c>
      <c r="F280" s="1" t="n">
        <f aca="false">Prowler!AJ280</f>
        <v>0</v>
      </c>
      <c r="G280" s="1" t="n">
        <f aca="false">Prowler!E280</f>
        <v>0</v>
      </c>
      <c r="H280" s="4" t="str">
        <f aca="false">_xlfn.TEXTJOIN(CHAR(10),1, Prowler!O280:Q280)</f>
        <v/>
      </c>
      <c r="I280" s="4" t="str">
        <f aca="false">_xlfn.TEXTJOIN(CHAR(10),1, Prowler!R280:W280)</f>
        <v/>
      </c>
      <c r="J280" s="1" t="n">
        <f aca="false">IF(Prowler!K280="critical",10, IF(Prowler!K280="high",7, IF(Prowler!K280="medium",5, 1)))</f>
        <v>1</v>
      </c>
      <c r="M280" s="3" t="n">
        <f aca="false">Prowler!A280</f>
        <v>0</v>
      </c>
      <c r="O280" s="4" t="str">
        <f aca="false">IF(Prowler!N280="", "", _xlfn.CONCAT("[{""key"":""",SUBSTITUTE(SUBSTITUTE(Prowler!N280,"=",""",""value"":""")," | ","""},{""key"":"""),"""}]"))</f>
        <v/>
      </c>
    </row>
    <row r="281" customFormat="false" ht="90.7" hidden="false" customHeight="false" outlineLevel="0" collapsed="false">
      <c r="B281" s="1" t="str">
        <f aca="false">UPPER(Prowler!C281)</f>
        <v/>
      </c>
      <c r="C281" s="1" t="str">
        <f aca="false">IF(Prowler!AL281&lt;&gt;"",Prowler!AL281, _xlfn.CONCAT("arn:aws:ec2:",F281,":",Prowler!AD281,":instance/",Prowler!AK281))</f>
        <v>arn:aws:ec2:::instance/</v>
      </c>
      <c r="F281" s="1" t="n">
        <f aca="false">Prowler!AJ281</f>
        <v>0</v>
      </c>
      <c r="G281" s="1" t="n">
        <f aca="false">Prowler!E281</f>
        <v>0</v>
      </c>
      <c r="H281" s="4" t="str">
        <f aca="false">_xlfn.TEXTJOIN(CHAR(10),1, Prowler!O281:Q281)</f>
        <v/>
      </c>
      <c r="I281" s="4" t="str">
        <f aca="false">_xlfn.TEXTJOIN(CHAR(10),1, Prowler!R281:W281)</f>
        <v/>
      </c>
      <c r="J281" s="1" t="n">
        <f aca="false">IF(Prowler!K281="critical",10, IF(Prowler!K281="high",7, IF(Prowler!K281="medium",5, 1)))</f>
        <v>1</v>
      </c>
      <c r="M281" s="3" t="n">
        <f aca="false">Prowler!A281</f>
        <v>0</v>
      </c>
      <c r="O281" s="4" t="str">
        <f aca="false">IF(Prowler!N281="", "", _xlfn.CONCAT("[{""key"":""",SUBSTITUTE(SUBSTITUTE(Prowler!N281,"=",""",""value"":""")," | ","""},{""key"":"""),"""}]"))</f>
        <v/>
      </c>
    </row>
    <row r="282" customFormat="false" ht="90.7" hidden="false" customHeight="false" outlineLevel="0" collapsed="false">
      <c r="B282" s="1" t="str">
        <f aca="false">UPPER(Prowler!C282)</f>
        <v/>
      </c>
      <c r="C282" s="1" t="str">
        <f aca="false">IF(Prowler!AL282&lt;&gt;"",Prowler!AL282, _xlfn.CONCAT("arn:aws:ec2:",F282,":",Prowler!AD282,":instance/",Prowler!AK282))</f>
        <v>arn:aws:ec2:::instance/</v>
      </c>
      <c r="F282" s="1" t="n">
        <f aca="false">Prowler!AJ282</f>
        <v>0</v>
      </c>
      <c r="G282" s="1" t="n">
        <f aca="false">Prowler!E282</f>
        <v>0</v>
      </c>
      <c r="H282" s="4" t="str">
        <f aca="false">_xlfn.TEXTJOIN(CHAR(10),1, Prowler!O282:Q282)</f>
        <v/>
      </c>
      <c r="I282" s="4" t="str">
        <f aca="false">_xlfn.TEXTJOIN(CHAR(10),1, Prowler!R282:W282)</f>
        <v/>
      </c>
      <c r="J282" s="1" t="n">
        <f aca="false">IF(Prowler!K282="critical",10, IF(Prowler!K282="high",7, IF(Prowler!K282="medium",5, 1)))</f>
        <v>1</v>
      </c>
      <c r="M282" s="3" t="n">
        <f aca="false">Prowler!A282</f>
        <v>0</v>
      </c>
      <c r="O282" s="4" t="str">
        <f aca="false">IF(Prowler!N282="", "", _xlfn.CONCAT("[{""key"":""",SUBSTITUTE(SUBSTITUTE(Prowler!N282,"=",""",""value"":""")," | ","""},{""key"":"""),"""}]"))</f>
        <v/>
      </c>
    </row>
    <row r="283" customFormat="false" ht="90.7" hidden="false" customHeight="false" outlineLevel="0" collapsed="false">
      <c r="B283" s="1" t="str">
        <f aca="false">UPPER(Prowler!C283)</f>
        <v/>
      </c>
      <c r="C283" s="1" t="str">
        <f aca="false">IF(Prowler!AL283&lt;&gt;"",Prowler!AL283, _xlfn.CONCAT("arn:aws:ec2:",F283,":",Prowler!AD283,":instance/",Prowler!AK283))</f>
        <v>arn:aws:ec2:::instance/</v>
      </c>
      <c r="F283" s="1" t="n">
        <f aca="false">Prowler!AJ283</f>
        <v>0</v>
      </c>
      <c r="G283" s="1" t="n">
        <f aca="false">Prowler!E283</f>
        <v>0</v>
      </c>
      <c r="H283" s="4" t="str">
        <f aca="false">_xlfn.TEXTJOIN(CHAR(10),1, Prowler!O283:Q283)</f>
        <v/>
      </c>
      <c r="I283" s="4" t="str">
        <f aca="false">_xlfn.TEXTJOIN(CHAR(10),1, Prowler!R283:W283)</f>
        <v/>
      </c>
      <c r="J283" s="1" t="n">
        <f aca="false">IF(Prowler!K283="critical",10, IF(Prowler!K283="high",7, IF(Prowler!K283="medium",5, 1)))</f>
        <v>1</v>
      </c>
      <c r="M283" s="3" t="n">
        <f aca="false">Prowler!A283</f>
        <v>0</v>
      </c>
      <c r="O283" s="4" t="str">
        <f aca="false">IF(Prowler!N283="", "", _xlfn.CONCAT("[{""key"":""",SUBSTITUTE(SUBSTITUTE(Prowler!N283,"=",""",""value"":""")," | ","""},{""key"":"""),"""}]"))</f>
        <v/>
      </c>
    </row>
    <row r="284" customFormat="false" ht="90.7" hidden="false" customHeight="false" outlineLevel="0" collapsed="false">
      <c r="B284" s="1" t="str">
        <f aca="false">UPPER(Prowler!C284)</f>
        <v/>
      </c>
      <c r="C284" s="1" t="str">
        <f aca="false">IF(Prowler!AL284&lt;&gt;"",Prowler!AL284, _xlfn.CONCAT("arn:aws:ec2:",F284,":",Prowler!AD284,":instance/",Prowler!AK284))</f>
        <v>arn:aws:ec2:::instance/</v>
      </c>
      <c r="F284" s="1" t="n">
        <f aca="false">Prowler!AJ284</f>
        <v>0</v>
      </c>
      <c r="G284" s="1" t="n">
        <f aca="false">Prowler!E284</f>
        <v>0</v>
      </c>
      <c r="H284" s="4" t="str">
        <f aca="false">_xlfn.TEXTJOIN(CHAR(10),1, Prowler!O284:Q284)</f>
        <v/>
      </c>
      <c r="I284" s="4" t="str">
        <f aca="false">_xlfn.TEXTJOIN(CHAR(10),1, Prowler!R284:W284)</f>
        <v/>
      </c>
      <c r="J284" s="1" t="n">
        <f aca="false">IF(Prowler!K284="critical",10, IF(Prowler!K284="high",7, IF(Prowler!K284="medium",5, 1)))</f>
        <v>1</v>
      </c>
      <c r="M284" s="3" t="n">
        <f aca="false">Prowler!A284</f>
        <v>0</v>
      </c>
      <c r="O284" s="4" t="str">
        <f aca="false">IF(Prowler!N284="", "", _xlfn.CONCAT("[{""key"":""",SUBSTITUTE(SUBSTITUTE(Prowler!N284,"=",""",""value"":""")," | ","""},{""key"":"""),"""}]"))</f>
        <v/>
      </c>
    </row>
    <row r="285" customFormat="false" ht="90.7" hidden="false" customHeight="false" outlineLevel="0" collapsed="false">
      <c r="B285" s="1" t="str">
        <f aca="false">UPPER(Prowler!C285)</f>
        <v/>
      </c>
      <c r="C285" s="1" t="str">
        <f aca="false">IF(Prowler!AL285&lt;&gt;"",Prowler!AL285, _xlfn.CONCAT("arn:aws:ec2:",F285,":",Prowler!AD285,":instance/",Prowler!AK285))</f>
        <v>arn:aws:ec2:::instance/</v>
      </c>
      <c r="F285" s="1" t="n">
        <f aca="false">Prowler!AJ285</f>
        <v>0</v>
      </c>
      <c r="G285" s="1" t="n">
        <f aca="false">Prowler!E285</f>
        <v>0</v>
      </c>
      <c r="H285" s="4" t="str">
        <f aca="false">_xlfn.TEXTJOIN(CHAR(10),1, Prowler!O285:Q285)</f>
        <v/>
      </c>
      <c r="I285" s="4" t="str">
        <f aca="false">_xlfn.TEXTJOIN(CHAR(10),1, Prowler!R285:W285)</f>
        <v/>
      </c>
      <c r="J285" s="1" t="n">
        <f aca="false">IF(Prowler!K285="critical",10, IF(Prowler!K285="high",7, IF(Prowler!K285="medium",5, 1)))</f>
        <v>1</v>
      </c>
      <c r="M285" s="3" t="n">
        <f aca="false">Prowler!A285</f>
        <v>0</v>
      </c>
      <c r="O285" s="4" t="str">
        <f aca="false">IF(Prowler!N285="", "", _xlfn.CONCAT("[{""key"":""",SUBSTITUTE(SUBSTITUTE(Prowler!N285,"=",""",""value"":""")," | ","""},{""key"":"""),"""}]"))</f>
        <v/>
      </c>
    </row>
    <row r="286" customFormat="false" ht="90.7" hidden="false" customHeight="false" outlineLevel="0" collapsed="false">
      <c r="B286" s="1" t="str">
        <f aca="false">UPPER(Prowler!C286)</f>
        <v/>
      </c>
      <c r="C286" s="1" t="str">
        <f aca="false">IF(Prowler!AL286&lt;&gt;"",Prowler!AL286, _xlfn.CONCAT("arn:aws:ec2:",F286,":",Prowler!AD286,":instance/",Prowler!AK286))</f>
        <v>arn:aws:ec2:::instance/</v>
      </c>
      <c r="F286" s="1" t="n">
        <f aca="false">Prowler!AJ286</f>
        <v>0</v>
      </c>
      <c r="G286" s="1" t="n">
        <f aca="false">Prowler!E286</f>
        <v>0</v>
      </c>
      <c r="H286" s="4" t="str">
        <f aca="false">_xlfn.TEXTJOIN(CHAR(10),1, Prowler!O286:Q286)</f>
        <v/>
      </c>
      <c r="I286" s="4" t="str">
        <f aca="false">_xlfn.TEXTJOIN(CHAR(10),1, Prowler!R286:W286)</f>
        <v/>
      </c>
      <c r="J286" s="1" t="n">
        <f aca="false">IF(Prowler!K286="critical",10, IF(Prowler!K286="high",7, IF(Prowler!K286="medium",5, 1)))</f>
        <v>1</v>
      </c>
      <c r="M286" s="3" t="n">
        <f aca="false">Prowler!A286</f>
        <v>0</v>
      </c>
      <c r="O286" s="4" t="str">
        <f aca="false">IF(Prowler!N286="", "", _xlfn.CONCAT("[{""key"":""",SUBSTITUTE(SUBSTITUTE(Prowler!N286,"=",""",""value"":""")," | ","""},{""key"":"""),"""}]"))</f>
        <v/>
      </c>
    </row>
    <row r="287" customFormat="false" ht="45.9" hidden="false" customHeight="false" outlineLevel="0" collapsed="false">
      <c r="B287" s="1" t="str">
        <f aca="false">UPPER(Prowler!C287)</f>
        <v/>
      </c>
      <c r="C287" s="1" t="str">
        <f aca="false">IF(Prowler!AL287&lt;&gt;"",Prowler!AL287, _xlfn.CONCAT("arn:aws:ec2:",F287,":",Prowler!AD287,":instance/",Prowler!AK287))</f>
        <v>arn:aws:ec2:::instance/</v>
      </c>
      <c r="F287" s="1" t="n">
        <f aca="false">Prowler!AJ287</f>
        <v>0</v>
      </c>
      <c r="G287" s="1" t="n">
        <f aca="false">Prowler!E287</f>
        <v>0</v>
      </c>
      <c r="H287" s="4" t="str">
        <f aca="false">_xlfn.TEXTJOIN(CHAR(10),1, Prowler!O287:Q287)</f>
        <v/>
      </c>
      <c r="I287" s="4" t="str">
        <f aca="false">_xlfn.TEXTJOIN(CHAR(10),1, Prowler!R287:W287)</f>
        <v/>
      </c>
      <c r="J287" s="1" t="n">
        <f aca="false">IF(Prowler!K287="critical",10, IF(Prowler!K287="high",7, IF(Prowler!K287="medium",5, 1)))</f>
        <v>1</v>
      </c>
      <c r="M287" s="3" t="n">
        <f aca="false">Prowler!A287</f>
        <v>0</v>
      </c>
      <c r="O287" s="4" t="str">
        <f aca="false">IF(Prowler!N287="", "", _xlfn.CONCAT("[{""key"":""",SUBSTITUTE(SUBSTITUTE(Prowler!N287,"=",""",""value"":""")," | ","""},{""key"":"""),"""}]"))</f>
        <v/>
      </c>
    </row>
    <row r="288" customFormat="false" ht="45.9" hidden="false" customHeight="false" outlineLevel="0" collapsed="false">
      <c r="B288" s="1" t="str">
        <f aca="false">UPPER(Prowler!C288)</f>
        <v/>
      </c>
      <c r="C288" s="1" t="str">
        <f aca="false">IF(Prowler!AL288&lt;&gt;"",Prowler!AL288, _xlfn.CONCAT("arn:aws:ec2:",F288,":",Prowler!AD288,":instance/",Prowler!AK288))</f>
        <v>arn:aws:ec2:::instance/</v>
      </c>
      <c r="F288" s="1" t="n">
        <f aca="false">Prowler!AJ288</f>
        <v>0</v>
      </c>
      <c r="G288" s="1" t="n">
        <f aca="false">Prowler!E288</f>
        <v>0</v>
      </c>
      <c r="H288" s="4" t="str">
        <f aca="false">_xlfn.TEXTJOIN(CHAR(10),1, Prowler!O288:Q288)</f>
        <v/>
      </c>
      <c r="I288" s="4" t="str">
        <f aca="false">_xlfn.TEXTJOIN(CHAR(10),1, Prowler!R288:W288)</f>
        <v/>
      </c>
      <c r="J288" s="1" t="n">
        <f aca="false">IF(Prowler!K288="critical",10, IF(Prowler!K288="high",7, IF(Prowler!K288="medium",5, 1)))</f>
        <v>1</v>
      </c>
      <c r="M288" s="3" t="n">
        <f aca="false">Prowler!A288</f>
        <v>0</v>
      </c>
      <c r="O288" s="4" t="str">
        <f aca="false">IF(Prowler!N288="", "", _xlfn.CONCAT("[{""key"":""",SUBSTITUTE(SUBSTITUTE(Prowler!N288,"=",""",""value"":""")," | ","""},{""key"":"""),"""}]"))</f>
        <v/>
      </c>
    </row>
    <row r="289" customFormat="false" ht="68.3" hidden="false" customHeight="false" outlineLevel="0" collapsed="false">
      <c r="B289" s="1" t="str">
        <f aca="false">UPPER(Prowler!C289)</f>
        <v/>
      </c>
      <c r="C289" s="1" t="str">
        <f aca="false">IF(Prowler!AL289&lt;&gt;"",Prowler!AL289, _xlfn.CONCAT("arn:aws:ec2:",F289,":",Prowler!AD289,":instance/",Prowler!AK289))</f>
        <v>arn:aws:ec2:::instance/</v>
      </c>
      <c r="F289" s="1" t="n">
        <f aca="false">Prowler!AJ289</f>
        <v>0</v>
      </c>
      <c r="G289" s="1" t="n">
        <f aca="false">Prowler!E289</f>
        <v>0</v>
      </c>
      <c r="H289" s="4" t="str">
        <f aca="false">_xlfn.TEXTJOIN(CHAR(10),1, Prowler!O289:Q289)</f>
        <v/>
      </c>
      <c r="I289" s="4" t="str">
        <f aca="false">_xlfn.TEXTJOIN(CHAR(10),1, Prowler!R289:W289)</f>
        <v/>
      </c>
      <c r="J289" s="1" t="n">
        <f aca="false">IF(Prowler!K289="critical",10, IF(Prowler!K289="high",7, IF(Prowler!K289="medium",5, 1)))</f>
        <v>1</v>
      </c>
      <c r="M289" s="3" t="n">
        <f aca="false">Prowler!A289</f>
        <v>0</v>
      </c>
      <c r="O289" s="4" t="str">
        <f aca="false">IF(Prowler!N289="", "", _xlfn.CONCAT("[{""key"":""",SUBSTITUTE(SUBSTITUTE(Prowler!N289,"=",""",""value"":""")," | ","""},{""key"":"""),"""}]"))</f>
        <v/>
      </c>
    </row>
    <row r="290" customFormat="false" ht="68.3" hidden="false" customHeight="false" outlineLevel="0" collapsed="false">
      <c r="B290" s="1" t="str">
        <f aca="false">UPPER(Prowler!C290)</f>
        <v/>
      </c>
      <c r="C290" s="1" t="str">
        <f aca="false">IF(Prowler!AL290&lt;&gt;"",Prowler!AL290, _xlfn.CONCAT("arn:aws:ec2:",F290,":",Prowler!AD290,":instance/",Prowler!AK290))</f>
        <v>arn:aws:ec2:::instance/</v>
      </c>
      <c r="F290" s="1" t="n">
        <f aca="false">Prowler!AJ290</f>
        <v>0</v>
      </c>
      <c r="G290" s="1" t="n">
        <f aca="false">Prowler!E290</f>
        <v>0</v>
      </c>
      <c r="H290" s="4" t="str">
        <f aca="false">_xlfn.TEXTJOIN(CHAR(10),1, Prowler!O290:Q290)</f>
        <v/>
      </c>
      <c r="I290" s="4" t="str">
        <f aca="false">_xlfn.TEXTJOIN(CHAR(10),1, Prowler!R290:W290)</f>
        <v/>
      </c>
      <c r="J290" s="1" t="n">
        <f aca="false">IF(Prowler!K290="critical",10, IF(Prowler!K290="high",7, IF(Prowler!K290="medium",5, 1)))</f>
        <v>1</v>
      </c>
      <c r="M290" s="3" t="n">
        <f aca="false">Prowler!A290</f>
        <v>0</v>
      </c>
      <c r="O290" s="4" t="str">
        <f aca="false">IF(Prowler!N290="", "", _xlfn.CONCAT("[{""key"":""",SUBSTITUTE(SUBSTITUTE(Prowler!N290,"=",""",""value"":""")," | ","""},{""key"":"""),"""}]"))</f>
        <v/>
      </c>
    </row>
    <row r="291" customFormat="false" ht="68.3" hidden="false" customHeight="false" outlineLevel="0" collapsed="false">
      <c r="B291" s="1" t="str">
        <f aca="false">UPPER(Prowler!C291)</f>
        <v/>
      </c>
      <c r="C291" s="1" t="str">
        <f aca="false">IF(Prowler!AL291&lt;&gt;"",Prowler!AL291, _xlfn.CONCAT("arn:aws:ec2:",F291,":",Prowler!AD291,":instance/",Prowler!AK291))</f>
        <v>arn:aws:ec2:::instance/</v>
      </c>
      <c r="F291" s="1" t="n">
        <f aca="false">Prowler!AJ291</f>
        <v>0</v>
      </c>
      <c r="G291" s="1" t="n">
        <f aca="false">Prowler!E291</f>
        <v>0</v>
      </c>
      <c r="H291" s="4" t="str">
        <f aca="false">_xlfn.TEXTJOIN(CHAR(10),1, Prowler!O291:Q291)</f>
        <v/>
      </c>
      <c r="I291" s="4" t="str">
        <f aca="false">_xlfn.TEXTJOIN(CHAR(10),1, Prowler!R291:W291)</f>
        <v/>
      </c>
      <c r="J291" s="1" t="n">
        <f aca="false">IF(Prowler!K291="critical",10, IF(Prowler!K291="high",7, IF(Prowler!K291="medium",5, 1)))</f>
        <v>1</v>
      </c>
      <c r="M291" s="3" t="n">
        <f aca="false">Prowler!A291</f>
        <v>0</v>
      </c>
      <c r="O291" s="4" t="str">
        <f aca="false">IF(Prowler!N291="", "", _xlfn.CONCAT("[{""key"":""",SUBSTITUTE(SUBSTITUTE(Prowler!N291,"=",""",""value"":""")," | ","""},{""key"":"""),"""}]"))</f>
        <v/>
      </c>
    </row>
    <row r="292" customFormat="false" ht="68.3" hidden="false" customHeight="false" outlineLevel="0" collapsed="false">
      <c r="B292" s="1" t="str">
        <f aca="false">UPPER(Prowler!C292)</f>
        <v/>
      </c>
      <c r="C292" s="1" t="str">
        <f aca="false">IF(Prowler!AL292&lt;&gt;"",Prowler!AL292, _xlfn.CONCAT("arn:aws:ec2:",F292,":",Prowler!AD292,":instance/",Prowler!AK292))</f>
        <v>arn:aws:ec2:::instance/</v>
      </c>
      <c r="F292" s="1" t="n">
        <f aca="false">Prowler!AJ292</f>
        <v>0</v>
      </c>
      <c r="G292" s="1" t="n">
        <f aca="false">Prowler!E292</f>
        <v>0</v>
      </c>
      <c r="H292" s="4" t="str">
        <f aca="false">_xlfn.TEXTJOIN(CHAR(10),1, Prowler!O292:Q292)</f>
        <v/>
      </c>
      <c r="I292" s="4" t="str">
        <f aca="false">_xlfn.TEXTJOIN(CHAR(10),1, Prowler!R292:W292)</f>
        <v/>
      </c>
      <c r="J292" s="1" t="n">
        <f aca="false">IF(Prowler!K292="critical",10, IF(Prowler!K292="high",7, IF(Prowler!K292="medium",5, 1)))</f>
        <v>1</v>
      </c>
      <c r="M292" s="3" t="n">
        <f aca="false">Prowler!A292</f>
        <v>0</v>
      </c>
      <c r="O292" s="4" t="str">
        <f aca="false">IF(Prowler!N292="", "", _xlfn.CONCAT("[{""key"":""",SUBSTITUTE(SUBSTITUTE(Prowler!N292,"=",""",""value"":""")," | ","""},{""key"":"""),"""}]"))</f>
        <v/>
      </c>
    </row>
    <row r="293" customFormat="false" ht="68.3" hidden="false" customHeight="false" outlineLevel="0" collapsed="false">
      <c r="B293" s="1" t="str">
        <f aca="false">UPPER(Prowler!C293)</f>
        <v/>
      </c>
      <c r="C293" s="1" t="str">
        <f aca="false">IF(Prowler!AL293&lt;&gt;"",Prowler!AL293, _xlfn.CONCAT("arn:aws:ec2:",F293,":",Prowler!AD293,":instance/",Prowler!AK293))</f>
        <v>arn:aws:ec2:::instance/</v>
      </c>
      <c r="F293" s="1" t="n">
        <f aca="false">Prowler!AJ293</f>
        <v>0</v>
      </c>
      <c r="G293" s="1" t="n">
        <f aca="false">Prowler!E293</f>
        <v>0</v>
      </c>
      <c r="H293" s="4" t="str">
        <f aca="false">_xlfn.TEXTJOIN(CHAR(10),1, Prowler!O293:Q293)</f>
        <v/>
      </c>
      <c r="I293" s="4" t="str">
        <f aca="false">_xlfn.TEXTJOIN(CHAR(10),1, Prowler!R293:W293)</f>
        <v/>
      </c>
      <c r="J293" s="1" t="n">
        <f aca="false">IF(Prowler!K293="critical",10, IF(Prowler!K293="high",7, IF(Prowler!K293="medium",5, 1)))</f>
        <v>1</v>
      </c>
      <c r="M293" s="3" t="n">
        <f aca="false">Prowler!A293</f>
        <v>0</v>
      </c>
      <c r="O293" s="4" t="str">
        <f aca="false">IF(Prowler!N293="", "", _xlfn.CONCAT("[{""key"":""",SUBSTITUTE(SUBSTITUTE(Prowler!N293,"=",""",""value"":""")," | ","""},{""key"":"""),"""}]"))</f>
        <v/>
      </c>
    </row>
    <row r="294" customFormat="false" ht="68.3" hidden="false" customHeight="false" outlineLevel="0" collapsed="false">
      <c r="B294" s="1" t="str">
        <f aca="false">UPPER(Prowler!C294)</f>
        <v/>
      </c>
      <c r="C294" s="1" t="str">
        <f aca="false">IF(Prowler!AL294&lt;&gt;"",Prowler!AL294, _xlfn.CONCAT("arn:aws:ec2:",F294,":",Prowler!AD294,":instance/",Prowler!AK294))</f>
        <v>arn:aws:ec2:::instance/</v>
      </c>
      <c r="F294" s="1" t="n">
        <f aca="false">Prowler!AJ294</f>
        <v>0</v>
      </c>
      <c r="G294" s="1" t="n">
        <f aca="false">Prowler!E294</f>
        <v>0</v>
      </c>
      <c r="H294" s="4" t="str">
        <f aca="false">_xlfn.TEXTJOIN(CHAR(10),1, Prowler!O294:Q294)</f>
        <v/>
      </c>
      <c r="I294" s="4" t="str">
        <f aca="false">_xlfn.TEXTJOIN(CHAR(10),1, Prowler!R294:W294)</f>
        <v/>
      </c>
      <c r="J294" s="1" t="n">
        <f aca="false">IF(Prowler!K294="critical",10, IF(Prowler!K294="high",7, IF(Prowler!K294="medium",5, 1)))</f>
        <v>1</v>
      </c>
      <c r="M294" s="3" t="n">
        <f aca="false">Prowler!A294</f>
        <v>0</v>
      </c>
      <c r="O294" s="4" t="str">
        <f aca="false">IF(Prowler!N294="", "", _xlfn.CONCAT("[{""key"":""",SUBSTITUTE(SUBSTITUTE(Prowler!N294,"=",""",""value"":""")," | ","""},{""key"":"""),"""}]"))</f>
        <v/>
      </c>
    </row>
    <row r="295" customFormat="false" ht="68.3" hidden="false" customHeight="false" outlineLevel="0" collapsed="false">
      <c r="B295" s="1" t="str">
        <f aca="false">UPPER(Prowler!C295)</f>
        <v/>
      </c>
      <c r="C295" s="1" t="str">
        <f aca="false">IF(Prowler!AL295&lt;&gt;"",Prowler!AL295, _xlfn.CONCAT("arn:aws:ec2:",F295,":",Prowler!AD295,":instance/",Prowler!AK295))</f>
        <v>arn:aws:ec2:::instance/</v>
      </c>
      <c r="F295" s="1" t="n">
        <f aca="false">Prowler!AJ295</f>
        <v>0</v>
      </c>
      <c r="G295" s="1" t="n">
        <f aca="false">Prowler!E295</f>
        <v>0</v>
      </c>
      <c r="H295" s="4" t="str">
        <f aca="false">_xlfn.TEXTJOIN(CHAR(10),1, Prowler!O295:Q295)</f>
        <v/>
      </c>
      <c r="I295" s="4" t="str">
        <f aca="false">_xlfn.TEXTJOIN(CHAR(10),1, Prowler!R295:W295)</f>
        <v/>
      </c>
      <c r="J295" s="1" t="n">
        <f aca="false">IF(Prowler!K295="critical",10, IF(Prowler!K295="high",7, IF(Prowler!K295="medium",5, 1)))</f>
        <v>1</v>
      </c>
      <c r="M295" s="3" t="n">
        <f aca="false">Prowler!A295</f>
        <v>0</v>
      </c>
      <c r="O295" s="4" t="str">
        <f aca="false">IF(Prowler!N295="", "", _xlfn.CONCAT("[{""key"":""",SUBSTITUTE(SUBSTITUTE(Prowler!N295,"=",""",""value"":""")," | ","""},{""key"":"""),"""}]"))</f>
        <v/>
      </c>
    </row>
    <row r="296" customFormat="false" ht="68.3" hidden="false" customHeight="false" outlineLevel="0" collapsed="false">
      <c r="B296" s="1" t="str">
        <f aca="false">UPPER(Prowler!C296)</f>
        <v/>
      </c>
      <c r="C296" s="1" t="str">
        <f aca="false">IF(Prowler!AL296&lt;&gt;"",Prowler!AL296, _xlfn.CONCAT("arn:aws:ec2:",F296,":",Prowler!AD296,":instance/",Prowler!AK296))</f>
        <v>arn:aws:ec2:::instance/</v>
      </c>
      <c r="F296" s="1" t="n">
        <f aca="false">Prowler!AJ296</f>
        <v>0</v>
      </c>
      <c r="G296" s="1" t="n">
        <f aca="false">Prowler!E296</f>
        <v>0</v>
      </c>
      <c r="H296" s="4" t="str">
        <f aca="false">_xlfn.TEXTJOIN(CHAR(10),1, Prowler!O296:Q296)</f>
        <v/>
      </c>
      <c r="I296" s="4" t="str">
        <f aca="false">_xlfn.TEXTJOIN(CHAR(10),1, Prowler!R296:W296)</f>
        <v/>
      </c>
      <c r="J296" s="1" t="n">
        <f aca="false">IF(Prowler!K296="critical",10, IF(Prowler!K296="high",7, IF(Prowler!K296="medium",5, 1)))</f>
        <v>1</v>
      </c>
      <c r="M296" s="3" t="n">
        <f aca="false">Prowler!A296</f>
        <v>0</v>
      </c>
      <c r="O296" s="4" t="str">
        <f aca="false">IF(Prowler!N296="", "", _xlfn.CONCAT("[{""key"":""",SUBSTITUTE(SUBSTITUTE(Prowler!N296,"=",""",""value"":""")," | ","""},{""key"":"""),"""}]"))</f>
        <v/>
      </c>
    </row>
    <row r="297" customFormat="false" ht="68.3" hidden="false" customHeight="false" outlineLevel="0" collapsed="false">
      <c r="B297" s="1" t="str">
        <f aca="false">UPPER(Prowler!C297)</f>
        <v/>
      </c>
      <c r="C297" s="1" t="str">
        <f aca="false">IF(Prowler!AL297&lt;&gt;"",Prowler!AL297, _xlfn.CONCAT("arn:aws:ec2:",F297,":",Prowler!AD297,":instance/",Prowler!AK297))</f>
        <v>arn:aws:ec2:::instance/</v>
      </c>
      <c r="F297" s="1" t="n">
        <f aca="false">Prowler!AJ297</f>
        <v>0</v>
      </c>
      <c r="G297" s="1" t="n">
        <f aca="false">Prowler!E297</f>
        <v>0</v>
      </c>
      <c r="H297" s="4" t="str">
        <f aca="false">_xlfn.TEXTJOIN(CHAR(10),1, Prowler!O297:Q297)</f>
        <v/>
      </c>
      <c r="I297" s="4" t="str">
        <f aca="false">_xlfn.TEXTJOIN(CHAR(10),1, Prowler!R297:W297)</f>
        <v/>
      </c>
      <c r="J297" s="1" t="n">
        <f aca="false">IF(Prowler!K297="critical",10, IF(Prowler!K297="high",7, IF(Prowler!K297="medium",5, 1)))</f>
        <v>1</v>
      </c>
      <c r="M297" s="3" t="n">
        <f aca="false">Prowler!A297</f>
        <v>0</v>
      </c>
      <c r="O297" s="4" t="str">
        <f aca="false">IF(Prowler!N297="", "", _xlfn.CONCAT("[{""key"":""",SUBSTITUTE(SUBSTITUTE(Prowler!N297,"=",""",""value"":""")," | ","""},{""key"":"""),"""}]"))</f>
        <v/>
      </c>
    </row>
    <row r="298" customFormat="false" ht="68.3" hidden="false" customHeight="false" outlineLevel="0" collapsed="false">
      <c r="B298" s="1" t="str">
        <f aca="false">UPPER(Prowler!C298)</f>
        <v/>
      </c>
      <c r="C298" s="1" t="str">
        <f aca="false">IF(Prowler!AL298&lt;&gt;"",Prowler!AL298, _xlfn.CONCAT("arn:aws:ec2:",F298,":",Prowler!AD298,":instance/",Prowler!AK298))</f>
        <v>arn:aws:ec2:::instance/</v>
      </c>
      <c r="F298" s="1" t="n">
        <f aca="false">Prowler!AJ298</f>
        <v>0</v>
      </c>
      <c r="G298" s="1" t="n">
        <f aca="false">Prowler!E298</f>
        <v>0</v>
      </c>
      <c r="H298" s="4" t="str">
        <f aca="false">_xlfn.TEXTJOIN(CHAR(10),1, Prowler!O298:Q298)</f>
        <v/>
      </c>
      <c r="I298" s="4" t="str">
        <f aca="false">_xlfn.TEXTJOIN(CHAR(10),1, Prowler!R298:W298)</f>
        <v/>
      </c>
      <c r="J298" s="1" t="n">
        <f aca="false">IF(Prowler!K298="critical",10, IF(Prowler!K298="high",7, IF(Prowler!K298="medium",5, 1)))</f>
        <v>1</v>
      </c>
      <c r="M298" s="3" t="n">
        <f aca="false">Prowler!A298</f>
        <v>0</v>
      </c>
      <c r="O298" s="4" t="str">
        <f aca="false">IF(Prowler!N298="", "", _xlfn.CONCAT("[{""key"":""",SUBSTITUTE(SUBSTITUTE(Prowler!N298,"=",""",""value"":""")," | ","""},{""key"":"""),"""}]"))</f>
        <v/>
      </c>
    </row>
    <row r="299" customFormat="false" ht="68.3" hidden="false" customHeight="false" outlineLevel="0" collapsed="false">
      <c r="B299" s="1" t="str">
        <f aca="false">UPPER(Prowler!C299)</f>
        <v/>
      </c>
      <c r="C299" s="1" t="str">
        <f aca="false">IF(Prowler!AL299&lt;&gt;"",Prowler!AL299, _xlfn.CONCAT("arn:aws:ec2:",F299,":",Prowler!AD299,":instance/",Prowler!AK299))</f>
        <v>arn:aws:ec2:::instance/</v>
      </c>
      <c r="F299" s="1" t="n">
        <f aca="false">Prowler!AJ299</f>
        <v>0</v>
      </c>
      <c r="G299" s="1" t="n">
        <f aca="false">Prowler!E299</f>
        <v>0</v>
      </c>
      <c r="H299" s="4" t="str">
        <f aca="false">_xlfn.TEXTJOIN(CHAR(10),1, Prowler!O299:Q299)</f>
        <v/>
      </c>
      <c r="I299" s="4" t="str">
        <f aca="false">_xlfn.TEXTJOIN(CHAR(10),1, Prowler!R299:W299)</f>
        <v/>
      </c>
      <c r="J299" s="1" t="n">
        <f aca="false">IF(Prowler!K299="critical",10, IF(Prowler!K299="high",7, IF(Prowler!K299="medium",5, 1)))</f>
        <v>1</v>
      </c>
      <c r="M299" s="3" t="n">
        <f aca="false">Prowler!A299</f>
        <v>0</v>
      </c>
      <c r="O299" s="4" t="str">
        <f aca="false">IF(Prowler!N299="", "", _xlfn.CONCAT("[{""key"":""",SUBSTITUTE(SUBSTITUTE(Prowler!N299,"=",""",""value"":""")," | ","""},{""key"":"""),"""}]"))</f>
        <v/>
      </c>
    </row>
    <row r="300" customFormat="false" ht="68.3" hidden="false" customHeight="false" outlineLevel="0" collapsed="false">
      <c r="B300" s="1" t="str">
        <f aca="false">UPPER(Prowler!C300)</f>
        <v/>
      </c>
      <c r="C300" s="1" t="str">
        <f aca="false">IF(Prowler!AL300&lt;&gt;"",Prowler!AL300, _xlfn.CONCAT("arn:aws:ec2:",F300,":",Prowler!AD300,":instance/",Prowler!AK300))</f>
        <v>arn:aws:ec2:::instance/</v>
      </c>
      <c r="F300" s="1" t="n">
        <f aca="false">Prowler!AJ300</f>
        <v>0</v>
      </c>
      <c r="G300" s="1" t="n">
        <f aca="false">Prowler!E300</f>
        <v>0</v>
      </c>
      <c r="H300" s="4" t="str">
        <f aca="false">_xlfn.TEXTJOIN(CHAR(10),1, Prowler!O300:Q300)</f>
        <v/>
      </c>
      <c r="I300" s="4" t="str">
        <f aca="false">_xlfn.TEXTJOIN(CHAR(10),1, Prowler!R300:W300)</f>
        <v/>
      </c>
      <c r="J300" s="1" t="n">
        <f aca="false">IF(Prowler!K300="critical",10, IF(Prowler!K300="high",7, IF(Prowler!K300="medium",5, 1)))</f>
        <v>1</v>
      </c>
      <c r="M300" s="3" t="n">
        <f aca="false">Prowler!A300</f>
        <v>0</v>
      </c>
      <c r="O300" s="4" t="str">
        <f aca="false">IF(Prowler!N300="", "", _xlfn.CONCAT("[{""key"":""",SUBSTITUTE(SUBSTITUTE(Prowler!N300,"=",""",""value"":""")," | ","""},{""key"":"""),"""}]"))</f>
        <v/>
      </c>
    </row>
    <row r="301" customFormat="false" ht="68.3" hidden="false" customHeight="false" outlineLevel="0" collapsed="false">
      <c r="B301" s="1" t="str">
        <f aca="false">UPPER(Prowler!C301)</f>
        <v/>
      </c>
      <c r="C301" s="1" t="str">
        <f aca="false">IF(Prowler!AL301&lt;&gt;"",Prowler!AL301, _xlfn.CONCAT("arn:aws:ec2:",F301,":",Prowler!AD301,":instance/",Prowler!AK301))</f>
        <v>arn:aws:ec2:::instance/</v>
      </c>
      <c r="F301" s="1" t="n">
        <f aca="false">Prowler!AJ301</f>
        <v>0</v>
      </c>
      <c r="G301" s="1" t="n">
        <f aca="false">Prowler!E301</f>
        <v>0</v>
      </c>
      <c r="H301" s="4" t="str">
        <f aca="false">_xlfn.TEXTJOIN(CHAR(10),1, Prowler!O301:Q301)</f>
        <v/>
      </c>
      <c r="I301" s="4" t="str">
        <f aca="false">_xlfn.TEXTJOIN(CHAR(10),1, Prowler!R301:W301)</f>
        <v/>
      </c>
      <c r="J301" s="1" t="n">
        <f aca="false">IF(Prowler!K301="critical",10, IF(Prowler!K301="high",7, IF(Prowler!K301="medium",5, 1)))</f>
        <v>1</v>
      </c>
      <c r="M301" s="3" t="n">
        <f aca="false">Prowler!A301</f>
        <v>0</v>
      </c>
      <c r="O301" s="4" t="str">
        <f aca="false">IF(Prowler!N301="", "", _xlfn.CONCAT("[{""key"":""",SUBSTITUTE(SUBSTITUTE(Prowler!N301,"=",""",""value"":""")," | ","""},{""key"":"""),"""}]"))</f>
        <v/>
      </c>
    </row>
    <row r="302" customFormat="false" ht="68.3" hidden="false" customHeight="false" outlineLevel="0" collapsed="false">
      <c r="B302" s="1" t="str">
        <f aca="false">UPPER(Prowler!C302)</f>
        <v/>
      </c>
      <c r="C302" s="1" t="str">
        <f aca="false">IF(Prowler!AL302&lt;&gt;"",Prowler!AL302, _xlfn.CONCAT("arn:aws:ec2:",F302,":",Prowler!AD302,":instance/",Prowler!AK302))</f>
        <v>arn:aws:ec2:::instance/</v>
      </c>
      <c r="F302" s="1" t="n">
        <f aca="false">Prowler!AJ302</f>
        <v>0</v>
      </c>
      <c r="G302" s="1" t="n">
        <f aca="false">Prowler!E302</f>
        <v>0</v>
      </c>
      <c r="H302" s="4" t="str">
        <f aca="false">_xlfn.TEXTJOIN(CHAR(10),1, Prowler!O302:Q302)</f>
        <v/>
      </c>
      <c r="I302" s="4" t="str">
        <f aca="false">_xlfn.TEXTJOIN(CHAR(10),1, Prowler!R302:W302)</f>
        <v/>
      </c>
      <c r="J302" s="1" t="n">
        <f aca="false">IF(Prowler!K302="critical",10, IF(Prowler!K302="high",7, IF(Prowler!K302="medium",5, 1)))</f>
        <v>1</v>
      </c>
      <c r="M302" s="3" t="n">
        <f aca="false">Prowler!A302</f>
        <v>0</v>
      </c>
      <c r="O302" s="4" t="str">
        <f aca="false">IF(Prowler!N302="", "", _xlfn.CONCAT("[{""key"":""",SUBSTITUTE(SUBSTITUTE(Prowler!N302,"=",""",""value"":""")," | ","""},{""key"":"""),"""}]"))</f>
        <v/>
      </c>
    </row>
    <row r="303" customFormat="false" ht="68.3" hidden="false" customHeight="false" outlineLevel="0" collapsed="false">
      <c r="B303" s="1" t="str">
        <f aca="false">UPPER(Prowler!C303)</f>
        <v/>
      </c>
      <c r="C303" s="1" t="str">
        <f aca="false">IF(Prowler!AL303&lt;&gt;"",Prowler!AL303, _xlfn.CONCAT("arn:aws:ec2:",F303,":",Prowler!AD303,":instance/",Prowler!AK303))</f>
        <v>arn:aws:ec2:::instance/</v>
      </c>
      <c r="F303" s="1" t="n">
        <f aca="false">Prowler!AJ303</f>
        <v>0</v>
      </c>
      <c r="G303" s="1" t="n">
        <f aca="false">Prowler!E303</f>
        <v>0</v>
      </c>
      <c r="H303" s="4" t="str">
        <f aca="false">_xlfn.TEXTJOIN(CHAR(10),1, Prowler!O303:Q303)</f>
        <v/>
      </c>
      <c r="I303" s="4" t="str">
        <f aca="false">_xlfn.TEXTJOIN(CHAR(10),1, Prowler!R303:W303)</f>
        <v/>
      </c>
      <c r="J303" s="1" t="n">
        <f aca="false">IF(Prowler!K303="critical",10, IF(Prowler!K303="high",7, IF(Prowler!K303="medium",5, 1)))</f>
        <v>1</v>
      </c>
      <c r="M303" s="3" t="n">
        <f aca="false">Prowler!A303</f>
        <v>0</v>
      </c>
      <c r="O303" s="4" t="str">
        <f aca="false">IF(Prowler!N303="", "", _xlfn.CONCAT("[{""key"":""",SUBSTITUTE(SUBSTITUTE(Prowler!N303,"=",""",""value"":""")," | ","""},{""key"":"""),"""}]"))</f>
        <v/>
      </c>
    </row>
    <row r="304" customFormat="false" ht="68.3" hidden="false" customHeight="false" outlineLevel="0" collapsed="false">
      <c r="B304" s="1" t="str">
        <f aca="false">UPPER(Prowler!C304)</f>
        <v/>
      </c>
      <c r="C304" s="1" t="str">
        <f aca="false">IF(Prowler!AL304&lt;&gt;"",Prowler!AL304, _xlfn.CONCAT("arn:aws:ec2:",F304,":",Prowler!AD304,":instance/",Prowler!AK304))</f>
        <v>arn:aws:ec2:::instance/</v>
      </c>
      <c r="F304" s="1" t="n">
        <f aca="false">Prowler!AJ304</f>
        <v>0</v>
      </c>
      <c r="G304" s="1" t="n">
        <f aca="false">Prowler!E304</f>
        <v>0</v>
      </c>
      <c r="H304" s="4" t="str">
        <f aca="false">_xlfn.TEXTJOIN(CHAR(10),1, Prowler!O304:Q304)</f>
        <v/>
      </c>
      <c r="I304" s="4" t="str">
        <f aca="false">_xlfn.TEXTJOIN(CHAR(10),1, Prowler!R304:W304)</f>
        <v/>
      </c>
      <c r="J304" s="1" t="n">
        <f aca="false">IF(Prowler!K304="critical",10, IF(Prowler!K304="high",7, IF(Prowler!K304="medium",5, 1)))</f>
        <v>1</v>
      </c>
      <c r="M304" s="3" t="n">
        <f aca="false">Prowler!A304</f>
        <v>0</v>
      </c>
      <c r="O304" s="4" t="str">
        <f aca="false">IF(Prowler!N304="", "", _xlfn.CONCAT("[{""key"":""",SUBSTITUTE(SUBSTITUTE(Prowler!N304,"=",""",""value"":""")," | ","""},{""key"":"""),"""}]"))</f>
        <v/>
      </c>
    </row>
    <row r="305" customFormat="false" ht="68.3" hidden="false" customHeight="false" outlineLevel="0" collapsed="false">
      <c r="B305" s="1" t="str">
        <f aca="false">UPPER(Prowler!C305)</f>
        <v/>
      </c>
      <c r="C305" s="1" t="str">
        <f aca="false">IF(Prowler!AL305&lt;&gt;"",Prowler!AL305, _xlfn.CONCAT("arn:aws:ec2:",F305,":",Prowler!AD305,":instance/",Prowler!AK305))</f>
        <v>arn:aws:ec2:::instance/</v>
      </c>
      <c r="F305" s="1" t="n">
        <f aca="false">Prowler!AJ305</f>
        <v>0</v>
      </c>
      <c r="G305" s="1" t="n">
        <f aca="false">Prowler!E305</f>
        <v>0</v>
      </c>
      <c r="H305" s="4" t="str">
        <f aca="false">_xlfn.TEXTJOIN(CHAR(10),1, Prowler!O305:Q305)</f>
        <v/>
      </c>
      <c r="I305" s="4" t="str">
        <f aca="false">_xlfn.TEXTJOIN(CHAR(10),1, Prowler!R305:W305)</f>
        <v/>
      </c>
      <c r="J305" s="1" t="n">
        <f aca="false">IF(Prowler!K305="critical",10, IF(Prowler!K305="high",7, IF(Prowler!K305="medium",5, 1)))</f>
        <v>1</v>
      </c>
      <c r="M305" s="3" t="n">
        <f aca="false">Prowler!A305</f>
        <v>0</v>
      </c>
      <c r="O305" s="4" t="str">
        <f aca="false">IF(Prowler!N305="", "", _xlfn.CONCAT("[{""key"":""",SUBSTITUTE(SUBSTITUTE(Prowler!N305,"=",""",""value"":""")," | ","""},{""key"":"""),"""}]"))</f>
        <v/>
      </c>
    </row>
    <row r="306" customFormat="false" ht="45.9" hidden="false" customHeight="false" outlineLevel="0" collapsed="false">
      <c r="B306" s="1" t="str">
        <f aca="false">UPPER(Prowler!C306)</f>
        <v/>
      </c>
      <c r="C306" s="1" t="str">
        <f aca="false">IF(Prowler!AL306&lt;&gt;"",Prowler!AL306, _xlfn.CONCAT("arn:aws:ec2:",F306,":",Prowler!AD306,":instance/",Prowler!AK306))</f>
        <v>arn:aws:ec2:::instance/</v>
      </c>
      <c r="F306" s="1" t="n">
        <f aca="false">Prowler!AJ306</f>
        <v>0</v>
      </c>
      <c r="G306" s="1" t="n">
        <f aca="false">Prowler!E306</f>
        <v>0</v>
      </c>
      <c r="H306" s="4" t="str">
        <f aca="false">_xlfn.TEXTJOIN(CHAR(10),1, Prowler!O306:Q306)</f>
        <v/>
      </c>
      <c r="I306" s="4" t="str">
        <f aca="false">_xlfn.TEXTJOIN(CHAR(10),1, Prowler!R306:W306)</f>
        <v/>
      </c>
      <c r="J306" s="1" t="n">
        <f aca="false">IF(Prowler!K306="critical",10, IF(Prowler!K306="high",7, IF(Prowler!K306="medium",5, 1)))</f>
        <v>1</v>
      </c>
      <c r="M306" s="3" t="n">
        <f aca="false">Prowler!A306</f>
        <v>0</v>
      </c>
      <c r="O306" s="4" t="str">
        <f aca="false">IF(Prowler!N306="", "", _xlfn.CONCAT("[{""key"":""",SUBSTITUTE(SUBSTITUTE(Prowler!N306,"=",""",""value"":""")," | ","""},{""key"":"""),"""}]"))</f>
        <v/>
      </c>
    </row>
    <row r="307" customFormat="false" ht="45.9" hidden="false" customHeight="false" outlineLevel="0" collapsed="false">
      <c r="B307" s="1" t="str">
        <f aca="false">UPPER(Prowler!C307)</f>
        <v/>
      </c>
      <c r="C307" s="1" t="str">
        <f aca="false">IF(Prowler!AL307&lt;&gt;"",Prowler!AL307, _xlfn.CONCAT("arn:aws:ec2:",F307,":",Prowler!AD307,":instance/",Prowler!AK307))</f>
        <v>arn:aws:ec2:::instance/</v>
      </c>
      <c r="F307" s="1" t="n">
        <f aca="false">Prowler!AJ307</f>
        <v>0</v>
      </c>
      <c r="G307" s="1" t="n">
        <f aca="false">Prowler!E307</f>
        <v>0</v>
      </c>
      <c r="H307" s="4" t="str">
        <f aca="false">_xlfn.TEXTJOIN(CHAR(10),1, Prowler!O307:Q307)</f>
        <v/>
      </c>
      <c r="I307" s="4" t="str">
        <f aca="false">_xlfn.TEXTJOIN(CHAR(10),1, Prowler!R307:W307)</f>
        <v/>
      </c>
      <c r="J307" s="1" t="n">
        <f aca="false">IF(Prowler!K307="critical",10, IF(Prowler!K307="high",7, IF(Prowler!K307="medium",5, 1)))</f>
        <v>1</v>
      </c>
      <c r="M307" s="3" t="n">
        <f aca="false">Prowler!A307</f>
        <v>0</v>
      </c>
      <c r="O307" s="4" t="str">
        <f aca="false">IF(Prowler!N307="", "", _xlfn.CONCAT("[{""key"":""",SUBSTITUTE(SUBSTITUTE(Prowler!N307,"=",""",""value"":""")," | ","""},{""key"":"""),"""}]"))</f>
        <v/>
      </c>
    </row>
    <row r="308" customFormat="false" ht="79.75" hidden="false" customHeight="false" outlineLevel="0" collapsed="false">
      <c r="B308" s="1" t="str">
        <f aca="false">UPPER(Prowler!C308)</f>
        <v/>
      </c>
      <c r="C308" s="1" t="str">
        <f aca="false">IF(Prowler!AL308&lt;&gt;"",Prowler!AL308, _xlfn.CONCAT("arn:aws:ec2:",F308,":",Prowler!AD308,":instance/",Prowler!AK308))</f>
        <v>arn:aws:ec2:::instance/</v>
      </c>
      <c r="F308" s="1" t="n">
        <f aca="false">Prowler!AJ308</f>
        <v>0</v>
      </c>
      <c r="G308" s="1" t="n">
        <f aca="false">Prowler!E308</f>
        <v>0</v>
      </c>
      <c r="H308" s="4" t="str">
        <f aca="false">_xlfn.TEXTJOIN(CHAR(10),1, Prowler!O308:Q308)</f>
        <v/>
      </c>
      <c r="I308" s="4" t="str">
        <f aca="false">_xlfn.TEXTJOIN(CHAR(10),1, Prowler!R308:W308)</f>
        <v/>
      </c>
      <c r="J308" s="1" t="n">
        <f aca="false">IF(Prowler!K308="critical",10, IF(Prowler!K308="high",7, IF(Prowler!K308="medium",5, 1)))</f>
        <v>1</v>
      </c>
      <c r="M308" s="3" t="n">
        <f aca="false">Prowler!A308</f>
        <v>0</v>
      </c>
      <c r="O308" s="4" t="str">
        <f aca="false">IF(Prowler!N308="", "", _xlfn.CONCAT("[{""key"":""",SUBSTITUTE(SUBSTITUTE(Prowler!N308,"=",""",""value"":""")," | ","""},{""key"":"""),"""}]"))</f>
        <v/>
      </c>
    </row>
    <row r="309" customFormat="false" ht="45.9" hidden="false" customHeight="false" outlineLevel="0" collapsed="false">
      <c r="B309" s="1" t="str">
        <f aca="false">UPPER(Prowler!C309)</f>
        <v/>
      </c>
      <c r="C309" s="1" t="str">
        <f aca="false">IF(Prowler!AL309&lt;&gt;"",Prowler!AL309, _xlfn.CONCAT("arn:aws:ec2:",F309,":",Prowler!AD309,":instance/",Prowler!AK309))</f>
        <v>arn:aws:ec2:::instance/</v>
      </c>
      <c r="F309" s="1" t="n">
        <f aca="false">Prowler!AJ309</f>
        <v>0</v>
      </c>
      <c r="G309" s="1" t="n">
        <f aca="false">Prowler!E309</f>
        <v>0</v>
      </c>
      <c r="H309" s="4" t="str">
        <f aca="false">_xlfn.TEXTJOIN(CHAR(10),1, Prowler!O309:Q309)</f>
        <v/>
      </c>
      <c r="I309" s="4" t="str">
        <f aca="false">_xlfn.TEXTJOIN(CHAR(10),1, Prowler!R309:W309)</f>
        <v/>
      </c>
      <c r="J309" s="1" t="n">
        <f aca="false">IF(Prowler!K309="critical",10, IF(Prowler!K309="high",7, IF(Prowler!K309="medium",5, 1)))</f>
        <v>1</v>
      </c>
      <c r="M309" s="3" t="n">
        <f aca="false">Prowler!A309</f>
        <v>0</v>
      </c>
      <c r="O309" s="4" t="str">
        <f aca="false">IF(Prowler!N309="", "", _xlfn.CONCAT("[{""key"":""",SUBSTITUTE(SUBSTITUTE(Prowler!N309,"=",""",""value"":""")," | ","""},{""key"":"""),"""}]"))</f>
        <v/>
      </c>
    </row>
    <row r="310" customFormat="false" ht="45.9" hidden="false" customHeight="false" outlineLevel="0" collapsed="false">
      <c r="B310" s="1" t="str">
        <f aca="false">UPPER(Prowler!C310)</f>
        <v/>
      </c>
      <c r="C310" s="1" t="str">
        <f aca="false">IF(Prowler!AL310&lt;&gt;"",Prowler!AL310, _xlfn.CONCAT("arn:aws:ec2:",F310,":",Prowler!AD310,":instance/",Prowler!AK310))</f>
        <v>arn:aws:ec2:::instance/</v>
      </c>
      <c r="F310" s="1" t="n">
        <f aca="false">Prowler!AJ310</f>
        <v>0</v>
      </c>
      <c r="G310" s="1" t="n">
        <f aca="false">Prowler!E310</f>
        <v>0</v>
      </c>
      <c r="H310" s="4" t="str">
        <f aca="false">_xlfn.TEXTJOIN(CHAR(10),1, Prowler!O310:Q310)</f>
        <v/>
      </c>
      <c r="I310" s="4" t="str">
        <f aca="false">_xlfn.TEXTJOIN(CHAR(10),1, Prowler!R310:W310)</f>
        <v/>
      </c>
      <c r="J310" s="1" t="n">
        <f aca="false">IF(Prowler!K310="critical",10, IF(Prowler!K310="high",7, IF(Prowler!K310="medium",5, 1)))</f>
        <v>1</v>
      </c>
      <c r="M310" s="3" t="n">
        <f aca="false">Prowler!A310</f>
        <v>0</v>
      </c>
      <c r="O310" s="4" t="str">
        <f aca="false">IF(Prowler!N310="", "", _xlfn.CONCAT("[{""key"":""",SUBSTITUTE(SUBSTITUTE(Prowler!N310,"=",""",""value"":""")," | ","""},{""key"":"""),"""}]"))</f>
        <v/>
      </c>
    </row>
    <row r="311" customFormat="false" ht="45.9" hidden="false" customHeight="false" outlineLevel="0" collapsed="false">
      <c r="B311" s="1" t="str">
        <f aca="false">UPPER(Prowler!C311)</f>
        <v/>
      </c>
      <c r="C311" s="1" t="str">
        <f aca="false">IF(Prowler!AL311&lt;&gt;"",Prowler!AL311, _xlfn.CONCAT("arn:aws:ec2:",F311,":",Prowler!AD311,":instance/",Prowler!AK311))</f>
        <v>arn:aws:ec2:::instance/</v>
      </c>
      <c r="F311" s="1" t="n">
        <f aca="false">Prowler!AJ311</f>
        <v>0</v>
      </c>
      <c r="G311" s="1" t="n">
        <f aca="false">Prowler!E311</f>
        <v>0</v>
      </c>
      <c r="H311" s="4" t="str">
        <f aca="false">_xlfn.TEXTJOIN(CHAR(10),1, Prowler!O311:Q311)</f>
        <v/>
      </c>
      <c r="I311" s="4" t="str">
        <f aca="false">_xlfn.TEXTJOIN(CHAR(10),1, Prowler!R311:W311)</f>
        <v/>
      </c>
      <c r="J311" s="1" t="n">
        <f aca="false">IF(Prowler!K311="critical",10, IF(Prowler!K311="high",7, IF(Prowler!K311="medium",5, 1)))</f>
        <v>1</v>
      </c>
      <c r="M311" s="3" t="n">
        <f aca="false">Prowler!A311</f>
        <v>0</v>
      </c>
      <c r="O311" s="4" t="str">
        <f aca="false">IF(Prowler!N311="", "", _xlfn.CONCAT("[{""key"":""",SUBSTITUTE(SUBSTITUTE(Prowler!N311,"=",""",""value"":""")," | ","""},{""key"":"""),"""}]"))</f>
        <v/>
      </c>
    </row>
    <row r="312" customFormat="false" ht="45.9" hidden="false" customHeight="false" outlineLevel="0" collapsed="false">
      <c r="B312" s="1" t="str">
        <f aca="false">UPPER(Prowler!C312)</f>
        <v/>
      </c>
      <c r="C312" s="1" t="str">
        <f aca="false">IF(Prowler!AL312&lt;&gt;"",Prowler!AL312, _xlfn.CONCAT("arn:aws:ec2:",F312,":",Prowler!AD312,":instance/",Prowler!AK312))</f>
        <v>arn:aws:ec2:::instance/</v>
      </c>
      <c r="F312" s="1" t="n">
        <f aca="false">Prowler!AJ312</f>
        <v>0</v>
      </c>
      <c r="G312" s="1" t="n">
        <f aca="false">Prowler!E312</f>
        <v>0</v>
      </c>
      <c r="H312" s="4" t="str">
        <f aca="false">_xlfn.TEXTJOIN(CHAR(10),1, Prowler!O312:Q312)</f>
        <v/>
      </c>
      <c r="I312" s="4" t="str">
        <f aca="false">_xlfn.TEXTJOIN(CHAR(10),1, Prowler!R312:W312)</f>
        <v/>
      </c>
      <c r="J312" s="1" t="n">
        <f aca="false">IF(Prowler!K312="critical",10, IF(Prowler!K312="high",7, IF(Prowler!K312="medium",5, 1)))</f>
        <v>1</v>
      </c>
      <c r="M312" s="3" t="n">
        <f aca="false">Prowler!A312</f>
        <v>0</v>
      </c>
      <c r="O312" s="4" t="str">
        <f aca="false">IF(Prowler!N312="", "", _xlfn.CONCAT("[{""key"":""",SUBSTITUTE(SUBSTITUTE(Prowler!N312,"=",""",""value"":""")," | ","""},{""key"":"""),"""}]"))</f>
        <v/>
      </c>
    </row>
    <row r="313" customFormat="false" ht="68.3" hidden="false" customHeight="false" outlineLevel="0" collapsed="false">
      <c r="B313" s="1" t="str">
        <f aca="false">UPPER(Prowler!C313)</f>
        <v/>
      </c>
      <c r="C313" s="1" t="str">
        <f aca="false">IF(Prowler!AL313&lt;&gt;"",Prowler!AL313, _xlfn.CONCAT("arn:aws:ec2:",F313,":",Prowler!AD313,":instance/",Prowler!AK313))</f>
        <v>arn:aws:ec2:::instance/</v>
      </c>
      <c r="F313" s="1" t="n">
        <f aca="false">Prowler!AJ313</f>
        <v>0</v>
      </c>
      <c r="G313" s="1" t="n">
        <f aca="false">Prowler!E313</f>
        <v>0</v>
      </c>
      <c r="H313" s="4" t="str">
        <f aca="false">_xlfn.TEXTJOIN(CHAR(10),1, Prowler!O313:Q313)</f>
        <v/>
      </c>
      <c r="I313" s="4" t="str">
        <f aca="false">_xlfn.TEXTJOIN(CHAR(10),1, Prowler!R313:W313)</f>
        <v/>
      </c>
      <c r="J313" s="1" t="n">
        <f aca="false">IF(Prowler!K313="critical",10, IF(Prowler!K313="high",7, IF(Prowler!K313="medium",5, 1)))</f>
        <v>1</v>
      </c>
      <c r="M313" s="3" t="n">
        <f aca="false">Prowler!A313</f>
        <v>0</v>
      </c>
      <c r="O313" s="4" t="str">
        <f aca="false">IF(Prowler!N313="", "", _xlfn.CONCAT("[{""key"":""",SUBSTITUTE(SUBSTITUTE(Prowler!N313,"=",""",""value"":""")," | ","""},{""key"":"""),"""}]"))</f>
        <v/>
      </c>
    </row>
    <row r="314" customFormat="false" ht="45.9" hidden="false" customHeight="false" outlineLevel="0" collapsed="false">
      <c r="B314" s="1" t="str">
        <f aca="false">UPPER(Prowler!C314)</f>
        <v/>
      </c>
      <c r="C314" s="1" t="str">
        <f aca="false">IF(Prowler!AL314&lt;&gt;"",Prowler!AL314, _xlfn.CONCAT("arn:aws:ec2:",F314,":",Prowler!AD314,":instance/",Prowler!AK314))</f>
        <v>arn:aws:ec2:::instance/</v>
      </c>
      <c r="F314" s="1" t="n">
        <f aca="false">Prowler!AJ314</f>
        <v>0</v>
      </c>
      <c r="G314" s="1" t="n">
        <f aca="false">Prowler!E314</f>
        <v>0</v>
      </c>
      <c r="H314" s="4" t="str">
        <f aca="false">_xlfn.TEXTJOIN(CHAR(10),1, Prowler!O314:Q314)</f>
        <v/>
      </c>
      <c r="I314" s="4" t="str">
        <f aca="false">_xlfn.TEXTJOIN(CHAR(10),1, Prowler!R314:W314)</f>
        <v/>
      </c>
      <c r="J314" s="1" t="n">
        <f aca="false">IF(Prowler!K314="critical",10, IF(Prowler!K314="high",7, IF(Prowler!K314="medium",5, 1)))</f>
        <v>1</v>
      </c>
      <c r="M314" s="3" t="n">
        <f aca="false">Prowler!A314</f>
        <v>0</v>
      </c>
      <c r="O314" s="4" t="str">
        <f aca="false">IF(Prowler!N314="", "", _xlfn.CONCAT("[{""key"":""",SUBSTITUTE(SUBSTITUTE(Prowler!N314,"=",""",""value"":""")," | ","""},{""key"":"""),"""}]"))</f>
        <v/>
      </c>
    </row>
    <row r="315" customFormat="false" ht="45.9" hidden="false" customHeight="false" outlineLevel="0" collapsed="false">
      <c r="B315" s="1" t="str">
        <f aca="false">UPPER(Prowler!C315)</f>
        <v/>
      </c>
      <c r="C315" s="1" t="str">
        <f aca="false">IF(Prowler!AL315&lt;&gt;"",Prowler!AL315, _xlfn.CONCAT("arn:aws:ec2:",F315,":",Prowler!AD315,":instance/",Prowler!AK315))</f>
        <v>arn:aws:ec2:::instance/</v>
      </c>
      <c r="F315" s="1" t="n">
        <f aca="false">Prowler!AJ315</f>
        <v>0</v>
      </c>
      <c r="G315" s="1" t="n">
        <f aca="false">Prowler!E315</f>
        <v>0</v>
      </c>
      <c r="H315" s="4" t="str">
        <f aca="false">_xlfn.TEXTJOIN(CHAR(10),1, Prowler!O315:Q315)</f>
        <v/>
      </c>
      <c r="I315" s="4" t="str">
        <f aca="false">_xlfn.TEXTJOIN(CHAR(10),1, Prowler!R315:W315)</f>
        <v/>
      </c>
      <c r="J315" s="1" t="n">
        <f aca="false">IF(Prowler!K315="critical",10, IF(Prowler!K315="high",7, IF(Prowler!K315="medium",5, 1)))</f>
        <v>1</v>
      </c>
      <c r="M315" s="3" t="n">
        <f aca="false">Prowler!A315</f>
        <v>0</v>
      </c>
      <c r="O315" s="4" t="str">
        <f aca="false">IF(Prowler!N315="", "", _xlfn.CONCAT("[{""key"":""",SUBSTITUTE(SUBSTITUTE(Prowler!N315,"=",""",""value"":""")," | ","""},{""key"":"""),"""}]"))</f>
        <v/>
      </c>
    </row>
    <row r="316" customFormat="false" ht="57.4" hidden="false" customHeight="false" outlineLevel="0" collapsed="false">
      <c r="B316" s="1" t="str">
        <f aca="false">UPPER(Prowler!C316)</f>
        <v/>
      </c>
      <c r="C316" s="1" t="str">
        <f aca="false">IF(Prowler!AL316&lt;&gt;"",Prowler!AL316, _xlfn.CONCAT("arn:aws:ec2:",F316,":",Prowler!AD316,":instance/",Prowler!AK316))</f>
        <v>arn:aws:ec2:::instance/</v>
      </c>
      <c r="F316" s="1" t="n">
        <f aca="false">Prowler!AJ316</f>
        <v>0</v>
      </c>
      <c r="G316" s="1" t="n">
        <f aca="false">Prowler!E316</f>
        <v>0</v>
      </c>
      <c r="H316" s="4" t="str">
        <f aca="false">_xlfn.TEXTJOIN(CHAR(10),1, Prowler!O316:Q316)</f>
        <v/>
      </c>
      <c r="I316" s="4" t="str">
        <f aca="false">_xlfn.TEXTJOIN(CHAR(10),1, Prowler!R316:W316)</f>
        <v/>
      </c>
      <c r="J316" s="1" t="n">
        <f aca="false">IF(Prowler!K316="critical",10, IF(Prowler!K316="high",7, IF(Prowler!K316="medium",5, 1)))</f>
        <v>1</v>
      </c>
      <c r="M316" s="3" t="n">
        <f aca="false">Prowler!A316</f>
        <v>0</v>
      </c>
      <c r="O316" s="4" t="str">
        <f aca="false">IF(Prowler!N316="", "", _xlfn.CONCAT("[{""key"":""",SUBSTITUTE(SUBSTITUTE(Prowler!N316,"=",""",""value"":""")," | ","""},{""key"":"""),"""}]"))</f>
        <v/>
      </c>
    </row>
    <row r="317" customFormat="false" ht="45.9" hidden="false" customHeight="false" outlineLevel="0" collapsed="false">
      <c r="B317" s="1" t="str">
        <f aca="false">UPPER(Prowler!C317)</f>
        <v/>
      </c>
      <c r="C317" s="1" t="str">
        <f aca="false">IF(Prowler!AL317&lt;&gt;"",Prowler!AL317, _xlfn.CONCAT("arn:aws:ec2:",F317,":",Prowler!AD317,":instance/",Prowler!AK317))</f>
        <v>arn:aws:ec2:::instance/</v>
      </c>
      <c r="F317" s="1" t="n">
        <f aca="false">Prowler!AJ317</f>
        <v>0</v>
      </c>
      <c r="G317" s="1" t="n">
        <f aca="false">Prowler!E317</f>
        <v>0</v>
      </c>
      <c r="H317" s="4" t="str">
        <f aca="false">_xlfn.TEXTJOIN(CHAR(10),1, Prowler!O317:Q317)</f>
        <v/>
      </c>
      <c r="I317" s="4" t="str">
        <f aca="false">_xlfn.TEXTJOIN(CHAR(10),1, Prowler!R317:W317)</f>
        <v/>
      </c>
      <c r="J317" s="1" t="n">
        <f aca="false">IF(Prowler!K317="critical",10, IF(Prowler!K317="high",7, IF(Prowler!K317="medium",5, 1)))</f>
        <v>1</v>
      </c>
      <c r="M317" s="3" t="n">
        <f aca="false">Prowler!A317</f>
        <v>0</v>
      </c>
      <c r="O317" s="4" t="str">
        <f aca="false">IF(Prowler!N317="", "", _xlfn.CONCAT("[{""key"":""",SUBSTITUTE(SUBSTITUTE(Prowler!N317,"=",""",""value"":""")," | ","""},{""key"":"""),"""}]"))</f>
        <v/>
      </c>
    </row>
    <row r="318" customFormat="false" ht="45.9" hidden="false" customHeight="false" outlineLevel="0" collapsed="false">
      <c r="B318" s="1" t="str">
        <f aca="false">UPPER(Prowler!C318)</f>
        <v/>
      </c>
      <c r="C318" s="1" t="str">
        <f aca="false">IF(Prowler!AL318&lt;&gt;"",Prowler!AL318, _xlfn.CONCAT("arn:aws:ec2:",F318,":",Prowler!AD318,":instance/",Prowler!AK318))</f>
        <v>arn:aws:ec2:::instance/</v>
      </c>
      <c r="F318" s="1" t="n">
        <f aca="false">Prowler!AJ318</f>
        <v>0</v>
      </c>
      <c r="G318" s="1" t="n">
        <f aca="false">Prowler!E318</f>
        <v>0</v>
      </c>
      <c r="H318" s="4" t="str">
        <f aca="false">_xlfn.TEXTJOIN(CHAR(10),1, Prowler!O318:Q318)</f>
        <v/>
      </c>
      <c r="I318" s="4" t="str">
        <f aca="false">_xlfn.TEXTJOIN(CHAR(10),1, Prowler!R318:W318)</f>
        <v/>
      </c>
      <c r="J318" s="1" t="n">
        <f aca="false">IF(Prowler!K318="critical",10, IF(Prowler!K318="high",7, IF(Prowler!K318="medium",5, 1)))</f>
        <v>1</v>
      </c>
      <c r="M318" s="3" t="n">
        <f aca="false">Prowler!A318</f>
        <v>0</v>
      </c>
      <c r="O318" s="4" t="str">
        <f aca="false">IF(Prowler!N318="", "", _xlfn.CONCAT("[{""key"":""",SUBSTITUTE(SUBSTITUTE(Prowler!N318,"=",""",""value"":""")," | ","""},{""key"":"""),"""}]"))</f>
        <v/>
      </c>
    </row>
    <row r="319" customFormat="false" ht="45.9" hidden="false" customHeight="false" outlineLevel="0" collapsed="false">
      <c r="B319" s="1" t="str">
        <f aca="false">UPPER(Prowler!C319)</f>
        <v/>
      </c>
      <c r="C319" s="1" t="str">
        <f aca="false">IF(Prowler!AL319&lt;&gt;"",Prowler!AL319, _xlfn.CONCAT("arn:aws:ec2:",F319,":",Prowler!AD319,":instance/",Prowler!AK319))</f>
        <v>arn:aws:ec2:::instance/</v>
      </c>
      <c r="F319" s="1" t="n">
        <f aca="false">Prowler!AJ319</f>
        <v>0</v>
      </c>
      <c r="G319" s="1" t="n">
        <f aca="false">Prowler!E319</f>
        <v>0</v>
      </c>
      <c r="H319" s="4" t="str">
        <f aca="false">_xlfn.TEXTJOIN(CHAR(10),1, Prowler!O319:Q319)</f>
        <v/>
      </c>
      <c r="I319" s="4" t="str">
        <f aca="false">_xlfn.TEXTJOIN(CHAR(10),1, Prowler!R319:W319)</f>
        <v/>
      </c>
      <c r="J319" s="1" t="n">
        <f aca="false">IF(Prowler!K319="critical",10, IF(Prowler!K319="high",7, IF(Prowler!K319="medium",5, 1)))</f>
        <v>1</v>
      </c>
      <c r="M319" s="3" t="n">
        <f aca="false">Prowler!A319</f>
        <v>0</v>
      </c>
      <c r="O319" s="4" t="str">
        <f aca="false">IF(Prowler!N319="", "", _xlfn.CONCAT("[{""key"":""",SUBSTITUTE(SUBSTITUTE(Prowler!N319,"=",""",""value"":""")," | ","""},{""key"":"""),"""}]"))</f>
        <v/>
      </c>
    </row>
    <row r="320" customFormat="false" ht="57.2" hidden="false" customHeight="false" outlineLevel="0" collapsed="false">
      <c r="B320" s="1" t="str">
        <f aca="false">UPPER(Prowler!C320)</f>
        <v/>
      </c>
      <c r="C320" s="1" t="str">
        <f aca="false">IF(Prowler!AL320&lt;&gt;"",Prowler!AL320, _xlfn.CONCAT("arn:aws:ec2:",F320,":",Prowler!AD320,":instance/",Prowler!AK320))</f>
        <v>arn:aws:ec2:::instance/</v>
      </c>
      <c r="F320" s="1" t="n">
        <f aca="false">Prowler!AJ320</f>
        <v>0</v>
      </c>
      <c r="G320" s="1" t="n">
        <f aca="false">Prowler!E320</f>
        <v>0</v>
      </c>
      <c r="H320" s="4" t="str">
        <f aca="false">_xlfn.TEXTJOIN(CHAR(10),1, Prowler!O320:Q320)</f>
        <v/>
      </c>
      <c r="I320" s="4" t="str">
        <f aca="false">_xlfn.TEXTJOIN(CHAR(10),1, Prowler!R320:W320)</f>
        <v/>
      </c>
      <c r="J320" s="1" t="n">
        <f aca="false">IF(Prowler!K320="critical",10, IF(Prowler!K320="high",7, IF(Prowler!K320="medium",5, 1)))</f>
        <v>1</v>
      </c>
      <c r="M320" s="3" t="n">
        <f aca="false">Prowler!A320</f>
        <v>0</v>
      </c>
      <c r="O320" s="4" t="str">
        <f aca="false">IF(Prowler!N320="", "", _xlfn.CONCAT("[{""key"":""",SUBSTITUTE(SUBSTITUTE(Prowler!N320,"=",""",""value"":""")," | ","""},{""key"":"""),"""}]"))</f>
        <v/>
      </c>
    </row>
    <row r="321" customFormat="false" ht="57.2" hidden="false" customHeight="false" outlineLevel="0" collapsed="false">
      <c r="B321" s="1" t="str">
        <f aca="false">UPPER(Prowler!C321)</f>
        <v/>
      </c>
      <c r="C321" s="1" t="str">
        <f aca="false">IF(Prowler!AL321&lt;&gt;"",Prowler!AL321, _xlfn.CONCAT("arn:aws:ec2:",F321,":",Prowler!AD321,":instance/",Prowler!AK321))</f>
        <v>arn:aws:ec2:::instance/</v>
      </c>
      <c r="F321" s="1" t="n">
        <f aca="false">Prowler!AJ321</f>
        <v>0</v>
      </c>
      <c r="G321" s="1" t="n">
        <f aca="false">Prowler!E321</f>
        <v>0</v>
      </c>
      <c r="H321" s="4" t="str">
        <f aca="false">_xlfn.TEXTJOIN(CHAR(10),1, Prowler!O321:Q321)</f>
        <v/>
      </c>
      <c r="I321" s="4" t="str">
        <f aca="false">_xlfn.TEXTJOIN(CHAR(10),1, Prowler!R321:W321)</f>
        <v/>
      </c>
      <c r="J321" s="1" t="n">
        <f aca="false">IF(Prowler!K321="critical",10, IF(Prowler!K321="high",7, IF(Prowler!K321="medium",5, 1)))</f>
        <v>1</v>
      </c>
      <c r="M321" s="3" t="n">
        <f aca="false">Prowler!A321</f>
        <v>0</v>
      </c>
      <c r="O321" s="4" t="str">
        <f aca="false">IF(Prowler!N321="", "", _xlfn.CONCAT("[{""key"":""",SUBSTITUTE(SUBSTITUTE(Prowler!N321,"=",""",""value"":""")," | ","""},{""key"":"""),"""}]"))</f>
        <v/>
      </c>
    </row>
    <row r="322" customFormat="false" ht="57.2" hidden="false" customHeight="false" outlineLevel="0" collapsed="false">
      <c r="B322" s="1" t="str">
        <f aca="false">UPPER(Prowler!C322)</f>
        <v/>
      </c>
      <c r="C322" s="1" t="str">
        <f aca="false">IF(Prowler!AL322&lt;&gt;"",Prowler!AL322, _xlfn.CONCAT("arn:aws:ec2:",F322,":",Prowler!AD322,":instance/",Prowler!AK322))</f>
        <v>arn:aws:ec2:::instance/</v>
      </c>
      <c r="F322" s="1" t="n">
        <f aca="false">Prowler!AJ322</f>
        <v>0</v>
      </c>
      <c r="G322" s="1" t="n">
        <f aca="false">Prowler!E322</f>
        <v>0</v>
      </c>
      <c r="H322" s="4" t="str">
        <f aca="false">_xlfn.TEXTJOIN(CHAR(10),1, Prowler!O322:Q322)</f>
        <v/>
      </c>
      <c r="I322" s="4" t="str">
        <f aca="false">_xlfn.TEXTJOIN(CHAR(10),1, Prowler!R322:W322)</f>
        <v/>
      </c>
      <c r="J322" s="1" t="n">
        <f aca="false">IF(Prowler!K322="critical",10, IF(Prowler!K322="high",7, IF(Prowler!K322="medium",5, 1)))</f>
        <v>1</v>
      </c>
      <c r="M322" s="3" t="n">
        <f aca="false">Prowler!A322</f>
        <v>0</v>
      </c>
      <c r="O322" s="4" t="str">
        <f aca="false">IF(Prowler!N322="", "", _xlfn.CONCAT("[{""key"":""",SUBSTITUTE(SUBSTITUTE(Prowler!N322,"=",""",""value"":""")," | ","""},{""key"":"""),"""}]"))</f>
        <v/>
      </c>
    </row>
    <row r="323" customFormat="false" ht="79.75" hidden="false" customHeight="false" outlineLevel="0" collapsed="false">
      <c r="B323" s="1" t="str">
        <f aca="false">UPPER(Prowler!C323)</f>
        <v/>
      </c>
      <c r="C323" s="1" t="str">
        <f aca="false">IF(Prowler!AL323&lt;&gt;"",Prowler!AL323, _xlfn.CONCAT("arn:aws:ec2:",F323,":",Prowler!AD323,":instance/",Prowler!AK323))</f>
        <v>arn:aws:ec2:::instance/</v>
      </c>
      <c r="F323" s="1" t="n">
        <f aca="false">Prowler!AJ323</f>
        <v>0</v>
      </c>
      <c r="G323" s="1" t="n">
        <f aca="false">Prowler!E323</f>
        <v>0</v>
      </c>
      <c r="H323" s="4" t="str">
        <f aca="false">_xlfn.TEXTJOIN(CHAR(10),1, Prowler!O323:Q323)</f>
        <v/>
      </c>
      <c r="I323" s="4" t="str">
        <f aca="false">_xlfn.TEXTJOIN(CHAR(10),1, Prowler!R323:W323)</f>
        <v/>
      </c>
      <c r="J323" s="1" t="n">
        <f aca="false">IF(Prowler!K323="critical",10, IF(Prowler!K323="high",7, IF(Prowler!K323="medium",5, 1)))</f>
        <v>1</v>
      </c>
      <c r="M323" s="3" t="n">
        <f aca="false">Prowler!A323</f>
        <v>0</v>
      </c>
      <c r="O323" s="4" t="str">
        <f aca="false">IF(Prowler!N323="", "", _xlfn.CONCAT("[{""key"":""",SUBSTITUTE(SUBSTITUTE(Prowler!N323,"=",""",""value"":""")," | ","""},{""key"":"""),"""}]"))</f>
        <v/>
      </c>
    </row>
    <row r="324" customFormat="false" ht="68.3" hidden="false" customHeight="false" outlineLevel="0" collapsed="false">
      <c r="B324" s="1" t="str">
        <f aca="false">UPPER(Prowler!C324)</f>
        <v/>
      </c>
      <c r="C324" s="1" t="str">
        <f aca="false">IF(Prowler!AL324&lt;&gt;"",Prowler!AL324, _xlfn.CONCAT("arn:aws:ec2:",F324,":",Prowler!AD324,":instance/",Prowler!AK324))</f>
        <v>arn:aws:ec2:::instance/</v>
      </c>
      <c r="F324" s="1" t="n">
        <f aca="false">Prowler!AJ324</f>
        <v>0</v>
      </c>
      <c r="G324" s="1" t="n">
        <f aca="false">Prowler!E324</f>
        <v>0</v>
      </c>
      <c r="H324" s="4" t="str">
        <f aca="false">_xlfn.TEXTJOIN(CHAR(10),1, Prowler!O324:Q324)</f>
        <v/>
      </c>
      <c r="I324" s="4" t="str">
        <f aca="false">_xlfn.TEXTJOIN(CHAR(10),1, Prowler!R324:W324)</f>
        <v/>
      </c>
      <c r="J324" s="1" t="n">
        <f aca="false">IF(Prowler!K324="critical",10, IF(Prowler!K324="high",7, IF(Prowler!K324="medium",5, 1)))</f>
        <v>1</v>
      </c>
      <c r="M324" s="3" t="n">
        <f aca="false">Prowler!A324</f>
        <v>0</v>
      </c>
      <c r="O324" s="4" t="str">
        <f aca="false">IF(Prowler!N324="", "", _xlfn.CONCAT("[{""key"":""",SUBSTITUTE(SUBSTITUTE(Prowler!N324,"=",""",""value"":""")," | ","""},{""key"":"""),"""}]"))</f>
        <v/>
      </c>
    </row>
    <row r="325" customFormat="false" ht="57.2" hidden="false" customHeight="false" outlineLevel="0" collapsed="false">
      <c r="B325" s="1" t="str">
        <f aca="false">UPPER(Prowler!C325)</f>
        <v/>
      </c>
      <c r="C325" s="1" t="str">
        <f aca="false">IF(Prowler!AL325&lt;&gt;"",Prowler!AL325, _xlfn.CONCAT("arn:aws:ec2:",F325,":",Prowler!AD325,":instance/",Prowler!AK325))</f>
        <v>arn:aws:ec2:::instance/</v>
      </c>
      <c r="F325" s="1" t="n">
        <f aca="false">Prowler!AJ325</f>
        <v>0</v>
      </c>
      <c r="G325" s="1" t="n">
        <f aca="false">Prowler!E325</f>
        <v>0</v>
      </c>
      <c r="H325" s="4" t="str">
        <f aca="false">_xlfn.TEXTJOIN(CHAR(10),1, Prowler!O325:Q325)</f>
        <v/>
      </c>
      <c r="I325" s="4" t="str">
        <f aca="false">_xlfn.TEXTJOIN(CHAR(10),1, Prowler!R325:W325)</f>
        <v/>
      </c>
      <c r="J325" s="1" t="n">
        <f aca="false">IF(Prowler!K325="critical",10, IF(Prowler!K325="high",7, IF(Prowler!K325="medium",5, 1)))</f>
        <v>1</v>
      </c>
      <c r="M325" s="3" t="n">
        <f aca="false">Prowler!A325</f>
        <v>0</v>
      </c>
      <c r="O325" s="4" t="str">
        <f aca="false">IF(Prowler!N325="", "", _xlfn.CONCAT("[{""key"":""",SUBSTITUTE(SUBSTITUTE(Prowler!N325,"=",""",""value"":""")," | ","""},{""key"":"""),"""}]"))</f>
        <v/>
      </c>
    </row>
    <row r="326" customFormat="false" ht="68.3" hidden="false" customHeight="false" outlineLevel="0" collapsed="false">
      <c r="B326" s="1" t="str">
        <f aca="false">UPPER(Prowler!C326)</f>
        <v/>
      </c>
      <c r="C326" s="1" t="str">
        <f aca="false">IF(Prowler!AL326&lt;&gt;"",Prowler!AL326, _xlfn.CONCAT("arn:aws:ec2:",F326,":",Prowler!AD326,":instance/",Prowler!AK326))</f>
        <v>arn:aws:ec2:::instance/</v>
      </c>
      <c r="F326" s="1" t="n">
        <f aca="false">Prowler!AJ326</f>
        <v>0</v>
      </c>
      <c r="G326" s="1" t="n">
        <f aca="false">Prowler!E326</f>
        <v>0</v>
      </c>
      <c r="H326" s="4" t="str">
        <f aca="false">_xlfn.TEXTJOIN(CHAR(10),1, Prowler!O326:Q326)</f>
        <v/>
      </c>
      <c r="I326" s="4" t="str">
        <f aca="false">_xlfn.TEXTJOIN(CHAR(10),1, Prowler!R326:W326)</f>
        <v/>
      </c>
      <c r="J326" s="1" t="n">
        <f aca="false">IF(Prowler!K326="critical",10, IF(Prowler!K326="high",7, IF(Prowler!K326="medium",5, 1)))</f>
        <v>1</v>
      </c>
      <c r="M326" s="3" t="n">
        <f aca="false">Prowler!A326</f>
        <v>0</v>
      </c>
      <c r="O326" s="4" t="str">
        <f aca="false">IF(Prowler!N326="", "", _xlfn.CONCAT("[{""key"":""",SUBSTITUTE(SUBSTITUTE(Prowler!N326,"=",""",""value"":""")," | ","""},{""key"":"""),"""}]"))</f>
        <v/>
      </c>
    </row>
    <row r="327" customFormat="false" ht="68.3" hidden="false" customHeight="false" outlineLevel="0" collapsed="false">
      <c r="B327" s="1" t="str">
        <f aca="false">UPPER(Prowler!C327)</f>
        <v/>
      </c>
      <c r="C327" s="1" t="str">
        <f aca="false">IF(Prowler!AL327&lt;&gt;"",Prowler!AL327, _xlfn.CONCAT("arn:aws:ec2:",F327,":",Prowler!AD327,":instance/",Prowler!AK327))</f>
        <v>arn:aws:ec2:::instance/</v>
      </c>
      <c r="F327" s="1" t="n">
        <f aca="false">Prowler!AJ327</f>
        <v>0</v>
      </c>
      <c r="G327" s="1" t="n">
        <f aca="false">Prowler!E327</f>
        <v>0</v>
      </c>
      <c r="H327" s="4" t="str">
        <f aca="false">_xlfn.TEXTJOIN(CHAR(10),1, Prowler!O327:Q327)</f>
        <v/>
      </c>
      <c r="I327" s="4" t="str">
        <f aca="false">_xlfn.TEXTJOIN(CHAR(10),1, Prowler!R327:W327)</f>
        <v/>
      </c>
      <c r="J327" s="1" t="n">
        <f aca="false">IF(Prowler!K327="critical",10, IF(Prowler!K327="high",7, IF(Prowler!K327="medium",5, 1)))</f>
        <v>1</v>
      </c>
      <c r="M327" s="3" t="n">
        <f aca="false">Prowler!A327</f>
        <v>0</v>
      </c>
      <c r="O327" s="4" t="str">
        <f aca="false">IF(Prowler!N327="", "", _xlfn.CONCAT("[{""key"":""",SUBSTITUTE(SUBSTITUTE(Prowler!N327,"=",""",""value"":""")," | ","""},{""key"":"""),"""}]"))</f>
        <v/>
      </c>
    </row>
    <row r="328" customFormat="false" ht="79.75" hidden="false" customHeight="false" outlineLevel="0" collapsed="false">
      <c r="B328" s="1" t="str">
        <f aca="false">UPPER(Prowler!C328)</f>
        <v/>
      </c>
      <c r="C328" s="1" t="str">
        <f aca="false">IF(Prowler!AL328&lt;&gt;"",Prowler!AL328, _xlfn.CONCAT("arn:aws:ec2:",F328,":",Prowler!AD328,":instance/",Prowler!AK328))</f>
        <v>arn:aws:ec2:::instance/</v>
      </c>
      <c r="F328" s="1" t="n">
        <f aca="false">Prowler!AJ328</f>
        <v>0</v>
      </c>
      <c r="G328" s="1" t="n">
        <f aca="false">Prowler!E328</f>
        <v>0</v>
      </c>
      <c r="H328" s="4" t="str">
        <f aca="false">_xlfn.TEXTJOIN(CHAR(10),1, Prowler!O328:Q328)</f>
        <v/>
      </c>
      <c r="I328" s="4" t="str">
        <f aca="false">_xlfn.TEXTJOIN(CHAR(10),1, Prowler!R328:W328)</f>
        <v/>
      </c>
      <c r="J328" s="1" t="n">
        <f aca="false">IF(Prowler!K328="critical",10, IF(Prowler!K328="high",7, IF(Prowler!K328="medium",5, 1)))</f>
        <v>1</v>
      </c>
      <c r="M328" s="3" t="n">
        <f aca="false">Prowler!A328</f>
        <v>0</v>
      </c>
      <c r="O328" s="4" t="str">
        <f aca="false">IF(Prowler!N328="", "", _xlfn.CONCAT("[{""key"":""",SUBSTITUTE(SUBSTITUTE(Prowler!N328,"=",""",""value"":""")," | ","""},{""key"":"""),"""}]"))</f>
        <v/>
      </c>
    </row>
    <row r="329" customFormat="false" ht="57.2" hidden="false" customHeight="false" outlineLevel="0" collapsed="false">
      <c r="B329" s="1" t="str">
        <f aca="false">UPPER(Prowler!C329)</f>
        <v/>
      </c>
      <c r="C329" s="1" t="str">
        <f aca="false">IF(Prowler!AL329&lt;&gt;"",Prowler!AL329, _xlfn.CONCAT("arn:aws:ec2:",F329,":",Prowler!AD329,":instance/",Prowler!AK329))</f>
        <v>arn:aws:ec2:::instance/</v>
      </c>
      <c r="F329" s="1" t="n">
        <f aca="false">Prowler!AJ329</f>
        <v>0</v>
      </c>
      <c r="G329" s="1" t="n">
        <f aca="false">Prowler!E329</f>
        <v>0</v>
      </c>
      <c r="H329" s="4" t="str">
        <f aca="false">_xlfn.TEXTJOIN(CHAR(10),1, Prowler!O329:Q329)</f>
        <v/>
      </c>
      <c r="I329" s="4" t="str">
        <f aca="false">_xlfn.TEXTJOIN(CHAR(10),1, Prowler!R329:W329)</f>
        <v/>
      </c>
      <c r="J329" s="1" t="n">
        <f aca="false">IF(Prowler!K329="critical",10, IF(Prowler!K329="high",7, IF(Prowler!K329="medium",5, 1)))</f>
        <v>1</v>
      </c>
      <c r="M329" s="3" t="n">
        <f aca="false">Prowler!A329</f>
        <v>0</v>
      </c>
      <c r="O329" s="4" t="str">
        <f aca="false">IF(Prowler!N329="", "", _xlfn.CONCAT("[{""key"":""",SUBSTITUTE(SUBSTITUTE(Prowler!N329,"=",""",""value"":""")," | ","""},{""key"":"""),"""}]"))</f>
        <v/>
      </c>
    </row>
    <row r="330" customFormat="false" ht="57.2" hidden="false" customHeight="false" outlineLevel="0" collapsed="false">
      <c r="B330" s="1" t="str">
        <f aca="false">UPPER(Prowler!C330)</f>
        <v/>
      </c>
      <c r="C330" s="1" t="str">
        <f aca="false">IF(Prowler!AL330&lt;&gt;"",Prowler!AL330, _xlfn.CONCAT("arn:aws:ec2:",F330,":",Prowler!AD330,":instance/",Prowler!AK330))</f>
        <v>arn:aws:ec2:::instance/</v>
      </c>
      <c r="F330" s="1" t="n">
        <f aca="false">Prowler!AJ330</f>
        <v>0</v>
      </c>
      <c r="G330" s="1" t="n">
        <f aca="false">Prowler!E330</f>
        <v>0</v>
      </c>
      <c r="H330" s="4" t="str">
        <f aca="false">_xlfn.TEXTJOIN(CHAR(10),1, Prowler!O330:Q330)</f>
        <v/>
      </c>
      <c r="I330" s="4" t="str">
        <f aca="false">_xlfn.TEXTJOIN(CHAR(10),1, Prowler!R330:W330)</f>
        <v/>
      </c>
      <c r="J330" s="1" t="n">
        <f aca="false">IF(Prowler!K330="critical",10, IF(Prowler!K330="high",7, IF(Prowler!K330="medium",5, 1)))</f>
        <v>1</v>
      </c>
      <c r="M330" s="3" t="n">
        <f aca="false">Prowler!A330</f>
        <v>0</v>
      </c>
      <c r="O330" s="4" t="str">
        <f aca="false">IF(Prowler!N330="", "", _xlfn.CONCAT("[{""key"":""",SUBSTITUTE(SUBSTITUTE(Prowler!N330,"=",""",""value"":""")," | ","""},{""key"":"""),"""}]"))</f>
        <v/>
      </c>
    </row>
    <row r="331" customFormat="false" ht="57.2" hidden="false" customHeight="false" outlineLevel="0" collapsed="false">
      <c r="B331" s="1" t="str">
        <f aca="false">UPPER(Prowler!C331)</f>
        <v/>
      </c>
      <c r="C331" s="1" t="str">
        <f aca="false">IF(Prowler!AL331&lt;&gt;"",Prowler!AL331, _xlfn.CONCAT("arn:aws:ec2:",F331,":",Prowler!AD331,":instance/",Prowler!AK331))</f>
        <v>arn:aws:ec2:::instance/</v>
      </c>
      <c r="F331" s="1" t="n">
        <f aca="false">Prowler!AJ331</f>
        <v>0</v>
      </c>
      <c r="G331" s="1" t="n">
        <f aca="false">Prowler!E331</f>
        <v>0</v>
      </c>
      <c r="H331" s="4" t="str">
        <f aca="false">_xlfn.TEXTJOIN(CHAR(10),1, Prowler!O331:Q331)</f>
        <v/>
      </c>
      <c r="I331" s="4" t="str">
        <f aca="false">_xlfn.TEXTJOIN(CHAR(10),1, Prowler!R331:W331)</f>
        <v/>
      </c>
      <c r="J331" s="1" t="n">
        <f aca="false">IF(Prowler!K331="critical",10, IF(Prowler!K331="high",7, IF(Prowler!K331="medium",5, 1)))</f>
        <v>1</v>
      </c>
      <c r="M331" s="3" t="n">
        <f aca="false">Prowler!A331</f>
        <v>0</v>
      </c>
      <c r="O331" s="4" t="str">
        <f aca="false">IF(Prowler!N331="", "", _xlfn.CONCAT("[{""key"":""",SUBSTITUTE(SUBSTITUTE(Prowler!N331,"=",""",""value"":""")," | ","""},{""key"":"""),"""}]"))</f>
        <v/>
      </c>
    </row>
    <row r="332" customFormat="false" ht="57.2" hidden="false" customHeight="false" outlineLevel="0" collapsed="false">
      <c r="B332" s="1" t="str">
        <f aca="false">UPPER(Prowler!C332)</f>
        <v/>
      </c>
      <c r="C332" s="1" t="str">
        <f aca="false">IF(Prowler!AL332&lt;&gt;"",Prowler!AL332, _xlfn.CONCAT("arn:aws:ec2:",F332,":",Prowler!AD332,":instance/",Prowler!AK332))</f>
        <v>arn:aws:ec2:::instance/</v>
      </c>
      <c r="F332" s="1" t="n">
        <f aca="false">Prowler!AJ332</f>
        <v>0</v>
      </c>
      <c r="G332" s="1" t="n">
        <f aca="false">Prowler!E332</f>
        <v>0</v>
      </c>
      <c r="H332" s="4" t="str">
        <f aca="false">_xlfn.TEXTJOIN(CHAR(10),1, Prowler!O332:Q332)</f>
        <v/>
      </c>
      <c r="I332" s="4" t="str">
        <f aca="false">_xlfn.TEXTJOIN(CHAR(10),1, Prowler!R332:W332)</f>
        <v/>
      </c>
      <c r="J332" s="1" t="n">
        <f aca="false">IF(Prowler!K332="critical",10, IF(Prowler!K332="high",7, IF(Prowler!K332="medium",5, 1)))</f>
        <v>1</v>
      </c>
      <c r="M332" s="3" t="n">
        <f aca="false">Prowler!A332</f>
        <v>0</v>
      </c>
      <c r="O332" s="4" t="str">
        <f aca="false">IF(Prowler!N332="", "", _xlfn.CONCAT("[{""key"":""",SUBSTITUTE(SUBSTITUTE(Prowler!N332,"=",""",""value"":""")," | ","""},{""key"":"""),"""}]"))</f>
        <v/>
      </c>
    </row>
    <row r="333" customFormat="false" ht="57.2" hidden="false" customHeight="false" outlineLevel="0" collapsed="false">
      <c r="B333" s="1" t="str">
        <f aca="false">UPPER(Prowler!C333)</f>
        <v/>
      </c>
      <c r="C333" s="1" t="str">
        <f aca="false">IF(Prowler!AL333&lt;&gt;"",Prowler!AL333, _xlfn.CONCAT("arn:aws:ec2:",F333,":",Prowler!AD333,":instance/",Prowler!AK333))</f>
        <v>arn:aws:ec2:::instance/</v>
      </c>
      <c r="F333" s="1" t="n">
        <f aca="false">Prowler!AJ333</f>
        <v>0</v>
      </c>
      <c r="G333" s="1" t="n">
        <f aca="false">Prowler!E333</f>
        <v>0</v>
      </c>
      <c r="H333" s="4" t="str">
        <f aca="false">_xlfn.TEXTJOIN(CHAR(10),1, Prowler!O333:Q333)</f>
        <v/>
      </c>
      <c r="I333" s="4" t="str">
        <f aca="false">_xlfn.TEXTJOIN(CHAR(10),1, Prowler!R333:W333)</f>
        <v/>
      </c>
      <c r="J333" s="1" t="n">
        <f aca="false">IF(Prowler!K333="critical",10, IF(Prowler!K333="high",7, IF(Prowler!K333="medium",5, 1)))</f>
        <v>1</v>
      </c>
      <c r="M333" s="3" t="n">
        <f aca="false">Prowler!A333</f>
        <v>0</v>
      </c>
      <c r="O333" s="4" t="str">
        <f aca="false">IF(Prowler!N333="", "", _xlfn.CONCAT("[{""key"":""",SUBSTITUTE(SUBSTITUTE(Prowler!N333,"=",""",""value"":""")," | ","""},{""key"":"""),"""}]"))</f>
        <v/>
      </c>
    </row>
    <row r="334" customFormat="false" ht="68.3" hidden="false" customHeight="false" outlineLevel="0" collapsed="false">
      <c r="B334" s="1" t="str">
        <f aca="false">UPPER(Prowler!C334)</f>
        <v/>
      </c>
      <c r="C334" s="1" t="str">
        <f aca="false">IF(Prowler!AL334&lt;&gt;"",Prowler!AL334, _xlfn.CONCAT("arn:aws:ec2:",F334,":",Prowler!AD334,":instance/",Prowler!AK334))</f>
        <v>arn:aws:ec2:::instance/</v>
      </c>
      <c r="F334" s="1" t="n">
        <f aca="false">Prowler!AJ334</f>
        <v>0</v>
      </c>
      <c r="G334" s="1" t="n">
        <f aca="false">Prowler!E334</f>
        <v>0</v>
      </c>
      <c r="H334" s="4" t="str">
        <f aca="false">_xlfn.TEXTJOIN(CHAR(10),1, Prowler!O334:Q334)</f>
        <v/>
      </c>
      <c r="I334" s="4" t="str">
        <f aca="false">_xlfn.TEXTJOIN(CHAR(10),1, Prowler!R334:W334)</f>
        <v/>
      </c>
      <c r="J334" s="1" t="n">
        <f aca="false">IF(Prowler!K334="critical",10, IF(Prowler!K334="high",7, IF(Prowler!K334="medium",5, 1)))</f>
        <v>1</v>
      </c>
      <c r="M334" s="3" t="n">
        <f aca="false">Prowler!A334</f>
        <v>0</v>
      </c>
      <c r="O334" s="4" t="str">
        <f aca="false">IF(Prowler!N334="", "", _xlfn.CONCAT("[{""key"":""",SUBSTITUTE(SUBSTITUTE(Prowler!N334,"=",""",""value"":""")," | ","""},{""key"":"""),"""}]"))</f>
        <v/>
      </c>
    </row>
    <row r="335" customFormat="false" ht="57.2" hidden="false" customHeight="false" outlineLevel="0" collapsed="false">
      <c r="B335" s="1" t="str">
        <f aca="false">UPPER(Prowler!C335)</f>
        <v/>
      </c>
      <c r="C335" s="1" t="str">
        <f aca="false">IF(Prowler!AL335&lt;&gt;"",Prowler!AL335, _xlfn.CONCAT("arn:aws:ec2:",F335,":",Prowler!AD335,":instance/",Prowler!AK335))</f>
        <v>arn:aws:ec2:::instance/</v>
      </c>
      <c r="F335" s="1" t="n">
        <f aca="false">Prowler!AJ335</f>
        <v>0</v>
      </c>
      <c r="G335" s="1" t="n">
        <f aca="false">Prowler!E335</f>
        <v>0</v>
      </c>
      <c r="H335" s="4" t="str">
        <f aca="false">_xlfn.TEXTJOIN(CHAR(10),1, Prowler!O335:Q335)</f>
        <v/>
      </c>
      <c r="I335" s="4" t="str">
        <f aca="false">_xlfn.TEXTJOIN(CHAR(10),1, Prowler!R335:W335)</f>
        <v/>
      </c>
      <c r="J335" s="1" t="n">
        <f aca="false">IF(Prowler!K335="critical",10, IF(Prowler!K335="high",7, IF(Prowler!K335="medium",5, 1)))</f>
        <v>1</v>
      </c>
      <c r="M335" s="3" t="n">
        <f aca="false">Prowler!A335</f>
        <v>0</v>
      </c>
      <c r="O335" s="4" t="str">
        <f aca="false">IF(Prowler!N335="", "", _xlfn.CONCAT("[{""key"":""",SUBSTITUTE(SUBSTITUTE(Prowler!N335,"=",""",""value"":""")," | ","""},{""key"":"""),"""}]"))</f>
        <v/>
      </c>
    </row>
    <row r="336" customFormat="false" ht="68.3" hidden="false" customHeight="false" outlineLevel="0" collapsed="false">
      <c r="B336" s="1" t="str">
        <f aca="false">UPPER(Prowler!C336)</f>
        <v/>
      </c>
      <c r="C336" s="1" t="str">
        <f aca="false">IF(Prowler!AL336&lt;&gt;"",Prowler!AL336, _xlfn.CONCAT("arn:aws:ec2:",F336,":",Prowler!AD336,":instance/",Prowler!AK336))</f>
        <v>arn:aws:ec2:::instance/</v>
      </c>
      <c r="F336" s="1" t="n">
        <f aca="false">Prowler!AJ336</f>
        <v>0</v>
      </c>
      <c r="G336" s="1" t="n">
        <f aca="false">Prowler!E336</f>
        <v>0</v>
      </c>
      <c r="H336" s="4" t="str">
        <f aca="false">_xlfn.TEXTJOIN(CHAR(10),1, Prowler!O336:Q336)</f>
        <v/>
      </c>
      <c r="I336" s="4" t="str">
        <f aca="false">_xlfn.TEXTJOIN(CHAR(10),1, Prowler!R336:W336)</f>
        <v/>
      </c>
      <c r="J336" s="1" t="n">
        <f aca="false">IF(Prowler!K336="critical",10, IF(Prowler!K336="high",7, IF(Prowler!K336="medium",5, 1)))</f>
        <v>1</v>
      </c>
      <c r="M336" s="3" t="n">
        <f aca="false">Prowler!A336</f>
        <v>0</v>
      </c>
      <c r="O336" s="4" t="str">
        <f aca="false">IF(Prowler!N336="", "", _xlfn.CONCAT("[{""key"":""",SUBSTITUTE(SUBSTITUTE(Prowler!N336,"=",""",""value"":""")," | ","""},{""key"":"""),"""}]"))</f>
        <v/>
      </c>
    </row>
    <row r="337" customFormat="false" ht="79.75" hidden="false" customHeight="false" outlineLevel="0" collapsed="false">
      <c r="B337" s="1" t="str">
        <f aca="false">UPPER(Prowler!C337)</f>
        <v/>
      </c>
      <c r="C337" s="1" t="str">
        <f aca="false">IF(Prowler!AL337&lt;&gt;"",Prowler!AL337, _xlfn.CONCAT("arn:aws:ec2:",F337,":",Prowler!AD337,":instance/",Prowler!AK337))</f>
        <v>arn:aws:ec2:::instance/</v>
      </c>
      <c r="F337" s="1" t="n">
        <f aca="false">Prowler!AJ337</f>
        <v>0</v>
      </c>
      <c r="G337" s="1" t="n">
        <f aca="false">Prowler!E337</f>
        <v>0</v>
      </c>
      <c r="H337" s="4" t="str">
        <f aca="false">_xlfn.TEXTJOIN(CHAR(10),1, Prowler!O337:Q337)</f>
        <v/>
      </c>
      <c r="I337" s="4" t="str">
        <f aca="false">_xlfn.TEXTJOIN(CHAR(10),1, Prowler!R337:W337)</f>
        <v/>
      </c>
      <c r="J337" s="1" t="n">
        <f aca="false">IF(Prowler!K337="critical",10, IF(Prowler!K337="high",7, IF(Prowler!K337="medium",5, 1)))</f>
        <v>1</v>
      </c>
      <c r="M337" s="3" t="n">
        <f aca="false">Prowler!A337</f>
        <v>0</v>
      </c>
      <c r="O337" s="4" t="str">
        <f aca="false">IF(Prowler!N337="", "", _xlfn.CONCAT("[{""key"":""",SUBSTITUTE(SUBSTITUTE(Prowler!N337,"=",""",""value"":""")," | ","""},{""key"":"""),"""}]"))</f>
        <v/>
      </c>
    </row>
    <row r="338" customFormat="false" ht="79.75" hidden="false" customHeight="false" outlineLevel="0" collapsed="false">
      <c r="B338" s="1" t="str">
        <f aca="false">UPPER(Prowler!C338)</f>
        <v/>
      </c>
      <c r="C338" s="1" t="str">
        <f aca="false">IF(Prowler!AL338&lt;&gt;"",Prowler!AL338, _xlfn.CONCAT("arn:aws:ec2:",F338,":",Prowler!AD338,":instance/",Prowler!AK338))</f>
        <v>arn:aws:ec2:::instance/</v>
      </c>
      <c r="F338" s="1" t="n">
        <f aca="false">Prowler!AJ338</f>
        <v>0</v>
      </c>
      <c r="G338" s="1" t="n">
        <f aca="false">Prowler!E338</f>
        <v>0</v>
      </c>
      <c r="H338" s="4" t="str">
        <f aca="false">_xlfn.TEXTJOIN(CHAR(10),1, Prowler!O338:Q338)</f>
        <v/>
      </c>
      <c r="I338" s="4" t="str">
        <f aca="false">_xlfn.TEXTJOIN(CHAR(10),1, Prowler!R338:W338)</f>
        <v/>
      </c>
      <c r="J338" s="1" t="n">
        <f aca="false">IF(Prowler!K338="critical",10, IF(Prowler!K338="high",7, IF(Prowler!K338="medium",5, 1)))</f>
        <v>1</v>
      </c>
      <c r="M338" s="3" t="n">
        <f aca="false">Prowler!A338</f>
        <v>0</v>
      </c>
      <c r="O338" s="4" t="str">
        <f aca="false">IF(Prowler!N338="", "", _xlfn.CONCAT("[{""key"":""",SUBSTITUTE(SUBSTITUTE(Prowler!N338,"=",""",""value"":""")," | ","""},{""key"":"""),"""}]"))</f>
        <v/>
      </c>
    </row>
    <row r="339" customFormat="false" ht="79.75" hidden="false" customHeight="false" outlineLevel="0" collapsed="false">
      <c r="B339" s="1" t="str">
        <f aca="false">UPPER(Prowler!C339)</f>
        <v/>
      </c>
      <c r="C339" s="1" t="str">
        <f aca="false">IF(Prowler!AL339&lt;&gt;"",Prowler!AL339, _xlfn.CONCAT("arn:aws:ec2:",F339,":",Prowler!AD339,":instance/",Prowler!AK339))</f>
        <v>arn:aws:ec2:::instance/</v>
      </c>
      <c r="F339" s="1" t="n">
        <f aca="false">Prowler!AJ339</f>
        <v>0</v>
      </c>
      <c r="G339" s="1" t="n">
        <f aca="false">Prowler!E339</f>
        <v>0</v>
      </c>
      <c r="H339" s="4" t="str">
        <f aca="false">_xlfn.TEXTJOIN(CHAR(10),1, Prowler!O339:Q339)</f>
        <v/>
      </c>
      <c r="I339" s="4" t="str">
        <f aca="false">_xlfn.TEXTJOIN(CHAR(10),1, Prowler!R339:W339)</f>
        <v/>
      </c>
      <c r="J339" s="1" t="n">
        <f aca="false">IF(Prowler!K339="critical",10, IF(Prowler!K339="high",7, IF(Prowler!K339="medium",5, 1)))</f>
        <v>1</v>
      </c>
      <c r="M339" s="3" t="n">
        <f aca="false">Prowler!A339</f>
        <v>0</v>
      </c>
      <c r="O339" s="4" t="str">
        <f aca="false">IF(Prowler!N339="", "", _xlfn.CONCAT("[{""key"":""",SUBSTITUTE(SUBSTITUTE(Prowler!N339,"=",""",""value"":""")," | ","""},{""key"":"""),"""}]"))</f>
        <v/>
      </c>
    </row>
    <row r="340" customFormat="false" ht="79.75" hidden="false" customHeight="false" outlineLevel="0" collapsed="false">
      <c r="B340" s="1" t="str">
        <f aca="false">UPPER(Prowler!C340)</f>
        <v/>
      </c>
      <c r="C340" s="1" t="str">
        <f aca="false">IF(Prowler!AL340&lt;&gt;"",Prowler!AL340, _xlfn.CONCAT("arn:aws:ec2:",F340,":",Prowler!AD340,":instance/",Prowler!AK340))</f>
        <v>arn:aws:ec2:::instance/</v>
      </c>
      <c r="F340" s="1" t="n">
        <f aca="false">Prowler!AJ340</f>
        <v>0</v>
      </c>
      <c r="G340" s="1" t="n">
        <f aca="false">Prowler!E340</f>
        <v>0</v>
      </c>
      <c r="H340" s="4" t="str">
        <f aca="false">_xlfn.TEXTJOIN(CHAR(10),1, Prowler!O340:Q340)</f>
        <v/>
      </c>
      <c r="I340" s="4" t="str">
        <f aca="false">_xlfn.TEXTJOIN(CHAR(10),1, Prowler!R340:W340)</f>
        <v/>
      </c>
      <c r="J340" s="1" t="n">
        <f aca="false">IF(Prowler!K340="critical",10, IF(Prowler!K340="high",7, IF(Prowler!K340="medium",5, 1)))</f>
        <v>1</v>
      </c>
      <c r="M340" s="3" t="n">
        <f aca="false">Prowler!A340</f>
        <v>0</v>
      </c>
      <c r="O340" s="4" t="str">
        <f aca="false">IF(Prowler!N340="", "", _xlfn.CONCAT("[{""key"":""",SUBSTITUTE(SUBSTITUTE(Prowler!N340,"=",""",""value"":""")," | ","""},{""key"":"""),"""}]"))</f>
        <v/>
      </c>
    </row>
    <row r="341" customFormat="false" ht="90.7" hidden="false" customHeight="false" outlineLevel="0" collapsed="false">
      <c r="B341" s="1" t="str">
        <f aca="false">UPPER(Prowler!C341)</f>
        <v/>
      </c>
      <c r="C341" s="1" t="str">
        <f aca="false">IF(Prowler!AL341&lt;&gt;"",Prowler!AL341, _xlfn.CONCAT("arn:aws:ec2:",F341,":",Prowler!AD341,":instance/",Prowler!AK341))</f>
        <v>arn:aws:ec2:::instance/</v>
      </c>
      <c r="F341" s="1" t="n">
        <f aca="false">Prowler!AJ341</f>
        <v>0</v>
      </c>
      <c r="G341" s="1" t="n">
        <f aca="false">Prowler!E341</f>
        <v>0</v>
      </c>
      <c r="H341" s="4" t="str">
        <f aca="false">_xlfn.TEXTJOIN(CHAR(10),1, Prowler!O341:Q341)</f>
        <v/>
      </c>
      <c r="I341" s="4" t="str">
        <f aca="false">_xlfn.TEXTJOIN(CHAR(10),1, Prowler!R341:W341)</f>
        <v/>
      </c>
      <c r="J341" s="1" t="n">
        <f aca="false">IF(Prowler!K341="critical",10, IF(Prowler!K341="high",7, IF(Prowler!K341="medium",5, 1)))</f>
        <v>1</v>
      </c>
      <c r="M341" s="3" t="n">
        <f aca="false">Prowler!A341</f>
        <v>0</v>
      </c>
      <c r="O341" s="4" t="str">
        <f aca="false">IF(Prowler!N341="", "", _xlfn.CONCAT("[{""key"":""",SUBSTITUTE(SUBSTITUTE(Prowler!N341,"=",""",""value"":""")," | ","""},{""key"":"""),"""}]"))</f>
        <v/>
      </c>
    </row>
    <row r="342" customFormat="false" ht="90.7" hidden="false" customHeight="false" outlineLevel="0" collapsed="false">
      <c r="B342" s="1" t="str">
        <f aca="false">UPPER(Prowler!C342)</f>
        <v/>
      </c>
      <c r="C342" s="1" t="str">
        <f aca="false">IF(Prowler!AL342&lt;&gt;"",Prowler!AL342, _xlfn.CONCAT("arn:aws:ec2:",F342,":",Prowler!AD342,":instance/",Prowler!AK342))</f>
        <v>arn:aws:ec2:::instance/</v>
      </c>
      <c r="F342" s="1" t="n">
        <f aca="false">Prowler!AJ342</f>
        <v>0</v>
      </c>
      <c r="G342" s="1" t="n">
        <f aca="false">Prowler!E342</f>
        <v>0</v>
      </c>
      <c r="H342" s="4" t="str">
        <f aca="false">_xlfn.TEXTJOIN(CHAR(10),1, Prowler!O342:Q342)</f>
        <v/>
      </c>
      <c r="I342" s="4" t="str">
        <f aca="false">_xlfn.TEXTJOIN(CHAR(10),1, Prowler!R342:W342)</f>
        <v/>
      </c>
      <c r="J342" s="1" t="n">
        <f aca="false">IF(Prowler!K342="critical",10, IF(Prowler!K342="high",7, IF(Prowler!K342="medium",5, 1)))</f>
        <v>1</v>
      </c>
      <c r="M342" s="3" t="n">
        <f aca="false">Prowler!A342</f>
        <v>0</v>
      </c>
      <c r="O342" s="4" t="str">
        <f aca="false">IF(Prowler!N342="", "", _xlfn.CONCAT("[{""key"":""",SUBSTITUTE(SUBSTITUTE(Prowler!N342,"=",""",""value"":""")," | ","""},{""key"":"""),"""}]"))</f>
        <v/>
      </c>
    </row>
    <row r="343" customFormat="false" ht="90.7" hidden="false" customHeight="false" outlineLevel="0" collapsed="false">
      <c r="B343" s="1" t="str">
        <f aca="false">UPPER(Prowler!C343)</f>
        <v/>
      </c>
      <c r="C343" s="1" t="str">
        <f aca="false">IF(Prowler!AL343&lt;&gt;"",Prowler!AL343, _xlfn.CONCAT("arn:aws:ec2:",F343,":",Prowler!AD343,":instance/",Prowler!AK343))</f>
        <v>arn:aws:ec2:::instance/</v>
      </c>
      <c r="F343" s="1" t="n">
        <f aca="false">Prowler!AJ343</f>
        <v>0</v>
      </c>
      <c r="G343" s="1" t="n">
        <f aca="false">Prowler!E343</f>
        <v>0</v>
      </c>
      <c r="H343" s="4" t="str">
        <f aca="false">_xlfn.TEXTJOIN(CHAR(10),1, Prowler!O343:Q343)</f>
        <v/>
      </c>
      <c r="I343" s="4" t="str">
        <f aca="false">_xlfn.TEXTJOIN(CHAR(10),1, Prowler!R343:W343)</f>
        <v/>
      </c>
      <c r="J343" s="1" t="n">
        <f aca="false">IF(Prowler!K343="critical",10, IF(Prowler!K343="high",7, IF(Prowler!K343="medium",5, 1)))</f>
        <v>1</v>
      </c>
      <c r="M343" s="3" t="n">
        <f aca="false">Prowler!A343</f>
        <v>0</v>
      </c>
      <c r="O343" s="4" t="str">
        <f aca="false">IF(Prowler!N343="", "", _xlfn.CONCAT("[{""key"":""",SUBSTITUTE(SUBSTITUTE(Prowler!N343,"=",""",""value"":""")," | ","""},{""key"":"""),"""}]"))</f>
        <v/>
      </c>
    </row>
    <row r="344" customFormat="false" ht="90.7" hidden="false" customHeight="false" outlineLevel="0" collapsed="false">
      <c r="B344" s="1" t="str">
        <f aca="false">UPPER(Prowler!C344)</f>
        <v/>
      </c>
      <c r="C344" s="1" t="str">
        <f aca="false">IF(Prowler!AL344&lt;&gt;"",Prowler!AL344, _xlfn.CONCAT("arn:aws:ec2:",F344,":",Prowler!AD344,":instance/",Prowler!AK344))</f>
        <v>arn:aws:ec2:::instance/</v>
      </c>
      <c r="F344" s="1" t="n">
        <f aca="false">Prowler!AJ344</f>
        <v>0</v>
      </c>
      <c r="G344" s="1" t="n">
        <f aca="false">Prowler!E344</f>
        <v>0</v>
      </c>
      <c r="H344" s="4" t="str">
        <f aca="false">_xlfn.TEXTJOIN(CHAR(10),1, Prowler!O344:Q344)</f>
        <v/>
      </c>
      <c r="I344" s="4" t="str">
        <f aca="false">_xlfn.TEXTJOIN(CHAR(10),1, Prowler!R344:W344)</f>
        <v/>
      </c>
      <c r="J344" s="1" t="n">
        <f aca="false">IF(Prowler!K344="critical",10, IF(Prowler!K344="high",7, IF(Prowler!K344="medium",5, 1)))</f>
        <v>1</v>
      </c>
      <c r="M344" s="3" t="n">
        <f aca="false">Prowler!A344</f>
        <v>0</v>
      </c>
      <c r="O344" s="4" t="str">
        <f aca="false">IF(Prowler!N344="", "", _xlfn.CONCAT("[{""key"":""",SUBSTITUTE(SUBSTITUTE(Prowler!N344,"=",""",""value"":""")," | ","""},{""key"":"""),"""}]"))</f>
        <v/>
      </c>
    </row>
    <row r="345" customFormat="false" ht="135.45" hidden="false" customHeight="false" outlineLevel="0" collapsed="false">
      <c r="B345" s="1" t="str">
        <f aca="false">UPPER(Prowler!C345)</f>
        <v/>
      </c>
      <c r="C345" s="1" t="str">
        <f aca="false">IF(Prowler!AL345&lt;&gt;"",Prowler!AL345, _xlfn.CONCAT("arn:aws:ec2:",F345,":",Prowler!AD345,":instance/",Prowler!AK345))</f>
        <v>arn:aws:ec2:::instance/</v>
      </c>
      <c r="F345" s="1" t="n">
        <f aca="false">Prowler!AJ345</f>
        <v>0</v>
      </c>
      <c r="G345" s="1" t="n">
        <f aca="false">Prowler!E345</f>
        <v>0</v>
      </c>
      <c r="H345" s="4" t="str">
        <f aca="false">_xlfn.TEXTJOIN(CHAR(10),1, Prowler!O345:Q345)</f>
        <v/>
      </c>
      <c r="I345" s="4" t="str">
        <f aca="false">_xlfn.TEXTJOIN(CHAR(10),1, Prowler!R345:W345)</f>
        <v/>
      </c>
      <c r="J345" s="1" t="n">
        <f aca="false">IF(Prowler!K345="critical",10, IF(Prowler!K345="high",7, IF(Prowler!K345="medium",5, 1)))</f>
        <v>1</v>
      </c>
      <c r="M345" s="3" t="n">
        <f aca="false">Prowler!A345</f>
        <v>0</v>
      </c>
      <c r="O345" s="4" t="str">
        <f aca="false">IF(Prowler!N345="", "", _xlfn.CONCAT("[{""key"":""",SUBSTITUTE(SUBSTITUTE(Prowler!N345,"=",""",""value"":""")," | ","""},{""key"":"""),"""}]"))</f>
        <v/>
      </c>
    </row>
    <row r="346" customFormat="false" ht="135.45" hidden="false" customHeight="false" outlineLevel="0" collapsed="false">
      <c r="B346" s="1" t="str">
        <f aca="false">UPPER(Prowler!C346)</f>
        <v/>
      </c>
      <c r="C346" s="1" t="str">
        <f aca="false">IF(Prowler!AL346&lt;&gt;"",Prowler!AL346, _xlfn.CONCAT("arn:aws:ec2:",F346,":",Prowler!AD346,":instance/",Prowler!AK346))</f>
        <v>arn:aws:ec2:::instance/</v>
      </c>
      <c r="F346" s="1" t="n">
        <f aca="false">Prowler!AJ346</f>
        <v>0</v>
      </c>
      <c r="G346" s="1" t="n">
        <f aca="false">Prowler!E346</f>
        <v>0</v>
      </c>
      <c r="H346" s="4" t="str">
        <f aca="false">_xlfn.TEXTJOIN(CHAR(10),1, Prowler!O346:Q346)</f>
        <v/>
      </c>
      <c r="I346" s="4" t="str">
        <f aca="false">_xlfn.TEXTJOIN(CHAR(10),1, Prowler!R346:W346)</f>
        <v/>
      </c>
      <c r="J346" s="1" t="n">
        <f aca="false">IF(Prowler!K346="critical",10, IF(Prowler!K346="high",7, IF(Prowler!K346="medium",5, 1)))</f>
        <v>1</v>
      </c>
      <c r="M346" s="3" t="n">
        <f aca="false">Prowler!A346</f>
        <v>0</v>
      </c>
      <c r="O346" s="4" t="str">
        <f aca="false">IF(Prowler!N346="", "", _xlfn.CONCAT("[{""key"":""",SUBSTITUTE(SUBSTITUTE(Prowler!N346,"=",""",""value"":""")," | ","""},{""key"":"""),"""}]"))</f>
        <v/>
      </c>
    </row>
    <row r="347" customFormat="false" ht="90.7" hidden="false" customHeight="false" outlineLevel="0" collapsed="false">
      <c r="B347" s="1" t="str">
        <f aca="false">UPPER(Prowler!C347)</f>
        <v/>
      </c>
      <c r="C347" s="1" t="str">
        <f aca="false">IF(Prowler!AL347&lt;&gt;"",Prowler!AL347, _xlfn.CONCAT("arn:aws:ec2:",F347,":",Prowler!AD347,":instance/",Prowler!AK347))</f>
        <v>arn:aws:ec2:::instance/</v>
      </c>
      <c r="F347" s="1" t="n">
        <f aca="false">Prowler!AJ347</f>
        <v>0</v>
      </c>
      <c r="G347" s="1" t="n">
        <f aca="false">Prowler!E347</f>
        <v>0</v>
      </c>
      <c r="H347" s="4" t="str">
        <f aca="false">_xlfn.TEXTJOIN(CHAR(10),1, Prowler!O347:Q347)</f>
        <v/>
      </c>
      <c r="I347" s="4" t="str">
        <f aca="false">_xlfn.TEXTJOIN(CHAR(10),1, Prowler!R347:W347)</f>
        <v/>
      </c>
      <c r="J347" s="1" t="n">
        <f aca="false">IF(Prowler!K347="critical",10, IF(Prowler!K347="high",7, IF(Prowler!K347="medium",5, 1)))</f>
        <v>1</v>
      </c>
      <c r="M347" s="3" t="n">
        <f aca="false">Prowler!A347</f>
        <v>0</v>
      </c>
      <c r="O347" s="4" t="str">
        <f aca="false">IF(Prowler!N347="", "", _xlfn.CONCAT("[{""key"":""",SUBSTITUTE(SUBSTITUTE(Prowler!N347,"=",""",""value"":""")," | ","""},{""key"":"""),"""}]"))</f>
        <v/>
      </c>
    </row>
    <row r="348" customFormat="false" ht="124.35" hidden="false" customHeight="false" outlineLevel="0" collapsed="false">
      <c r="B348" s="1" t="str">
        <f aca="false">UPPER(Prowler!C348)</f>
        <v/>
      </c>
      <c r="C348" s="1" t="str">
        <f aca="false">IF(Prowler!AL348&lt;&gt;"",Prowler!AL348, _xlfn.CONCAT("arn:aws:ec2:",F348,":",Prowler!AD348,":instance/",Prowler!AK348))</f>
        <v>arn:aws:ec2:::instance/</v>
      </c>
      <c r="F348" s="1" t="n">
        <f aca="false">Prowler!AJ348</f>
        <v>0</v>
      </c>
      <c r="G348" s="1" t="n">
        <f aca="false">Prowler!E348</f>
        <v>0</v>
      </c>
      <c r="H348" s="4" t="str">
        <f aca="false">_xlfn.TEXTJOIN(CHAR(10),1, Prowler!O348:Q348)</f>
        <v/>
      </c>
      <c r="I348" s="4" t="str">
        <f aca="false">_xlfn.TEXTJOIN(CHAR(10),1, Prowler!R348:W348)</f>
        <v/>
      </c>
      <c r="J348" s="1" t="n">
        <f aca="false">IF(Prowler!K348="critical",10, IF(Prowler!K348="high",7, IF(Prowler!K348="medium",5, 1)))</f>
        <v>1</v>
      </c>
      <c r="M348" s="3" t="n">
        <f aca="false">Prowler!A348</f>
        <v>0</v>
      </c>
      <c r="O348" s="4" t="str">
        <f aca="false">IF(Prowler!N348="", "", _xlfn.CONCAT("[{""key"":""",SUBSTITUTE(SUBSTITUTE(Prowler!N348,"=",""",""value"":""")," | ","""},{""key"":"""),"""}]"))</f>
        <v/>
      </c>
    </row>
    <row r="349" customFormat="false" ht="124.35" hidden="false" customHeight="false" outlineLevel="0" collapsed="false">
      <c r="B349" s="1" t="str">
        <f aca="false">UPPER(Prowler!C349)</f>
        <v/>
      </c>
      <c r="C349" s="1" t="str">
        <f aca="false">IF(Prowler!AL349&lt;&gt;"",Prowler!AL349, _xlfn.CONCAT("arn:aws:ec2:",F349,":",Prowler!AD349,":instance/",Prowler!AK349))</f>
        <v>arn:aws:ec2:::instance/</v>
      </c>
      <c r="F349" s="1" t="n">
        <f aca="false">Prowler!AJ349</f>
        <v>0</v>
      </c>
      <c r="G349" s="1" t="n">
        <f aca="false">Prowler!E349</f>
        <v>0</v>
      </c>
      <c r="H349" s="4" t="str">
        <f aca="false">_xlfn.TEXTJOIN(CHAR(10),1, Prowler!O349:Q349)</f>
        <v/>
      </c>
      <c r="I349" s="4" t="str">
        <f aca="false">_xlfn.TEXTJOIN(CHAR(10),1, Prowler!R349:W349)</f>
        <v/>
      </c>
      <c r="J349" s="1" t="n">
        <f aca="false">IF(Prowler!K349="critical",10, IF(Prowler!K349="high",7, IF(Prowler!K349="medium",5, 1)))</f>
        <v>1</v>
      </c>
      <c r="M349" s="3" t="n">
        <f aca="false">Prowler!A349</f>
        <v>0</v>
      </c>
      <c r="O349" s="4" t="str">
        <f aca="false">IF(Prowler!N349="", "", _xlfn.CONCAT("[{""key"":""",SUBSTITUTE(SUBSTITUTE(Prowler!N349,"=",""",""value"":""")," | ","""},{""key"":"""),"""}]"))</f>
        <v/>
      </c>
    </row>
    <row r="350" customFormat="false" ht="124.35" hidden="false" customHeight="false" outlineLevel="0" collapsed="false">
      <c r="B350" s="1" t="str">
        <f aca="false">UPPER(Prowler!C350)</f>
        <v/>
      </c>
      <c r="C350" s="1" t="str">
        <f aca="false">IF(Prowler!AL350&lt;&gt;"",Prowler!AL350, _xlfn.CONCAT("arn:aws:ec2:",F350,":",Prowler!AD350,":instance/",Prowler!AK350))</f>
        <v>arn:aws:ec2:::instance/</v>
      </c>
      <c r="F350" s="1" t="n">
        <f aca="false">Prowler!AJ350</f>
        <v>0</v>
      </c>
      <c r="G350" s="1" t="n">
        <f aca="false">Prowler!E350</f>
        <v>0</v>
      </c>
      <c r="H350" s="4" t="str">
        <f aca="false">_xlfn.TEXTJOIN(CHAR(10),1, Prowler!O350:Q350)</f>
        <v/>
      </c>
      <c r="I350" s="4" t="str">
        <f aca="false">_xlfn.TEXTJOIN(CHAR(10),1, Prowler!R350:W350)</f>
        <v/>
      </c>
      <c r="J350" s="1" t="n">
        <f aca="false">IF(Prowler!K350="critical",10, IF(Prowler!K350="high",7, IF(Prowler!K350="medium",5, 1)))</f>
        <v>1</v>
      </c>
      <c r="M350" s="3" t="n">
        <f aca="false">Prowler!A350</f>
        <v>0</v>
      </c>
      <c r="O350" s="4" t="str">
        <f aca="false">IF(Prowler!N350="", "", _xlfn.CONCAT("[{""key"":""",SUBSTITUTE(SUBSTITUTE(Prowler!N350,"=",""",""value"":""")," | ","""},{""key"":"""),"""}]"))</f>
        <v/>
      </c>
    </row>
    <row r="351" customFormat="false" ht="124.35" hidden="false" customHeight="false" outlineLevel="0" collapsed="false">
      <c r="B351" s="1" t="str">
        <f aca="false">UPPER(Prowler!C351)</f>
        <v/>
      </c>
      <c r="C351" s="1" t="str">
        <f aca="false">IF(Prowler!AL351&lt;&gt;"",Prowler!AL351, _xlfn.CONCAT("arn:aws:ec2:",F351,":",Prowler!AD351,":instance/",Prowler!AK351))</f>
        <v>arn:aws:ec2:::instance/</v>
      </c>
      <c r="F351" s="1" t="n">
        <f aca="false">Prowler!AJ351</f>
        <v>0</v>
      </c>
      <c r="G351" s="1" t="n">
        <f aca="false">Prowler!E351</f>
        <v>0</v>
      </c>
      <c r="H351" s="4" t="str">
        <f aca="false">_xlfn.TEXTJOIN(CHAR(10),1, Prowler!O351:Q351)</f>
        <v/>
      </c>
      <c r="I351" s="4" t="str">
        <f aca="false">_xlfn.TEXTJOIN(CHAR(10),1, Prowler!R351:W351)</f>
        <v/>
      </c>
      <c r="J351" s="1" t="n">
        <f aca="false">IF(Prowler!K351="critical",10, IF(Prowler!K351="high",7, IF(Prowler!K351="medium",5, 1)))</f>
        <v>1</v>
      </c>
      <c r="M351" s="3" t="n">
        <f aca="false">Prowler!A351</f>
        <v>0</v>
      </c>
      <c r="O351" s="4" t="str">
        <f aca="false">IF(Prowler!N351="", "", _xlfn.CONCAT("[{""key"":""",SUBSTITUTE(SUBSTITUTE(Prowler!N351,"=",""",""value"":""")," | ","""},{""key"":"""),"""}]"))</f>
        <v/>
      </c>
    </row>
    <row r="352" customFormat="false" ht="124.35" hidden="false" customHeight="false" outlineLevel="0" collapsed="false">
      <c r="B352" s="1" t="str">
        <f aca="false">UPPER(Prowler!C352)</f>
        <v/>
      </c>
      <c r="C352" s="1" t="str">
        <f aca="false">IF(Prowler!AL352&lt;&gt;"",Prowler!AL352, _xlfn.CONCAT("arn:aws:ec2:",F352,":",Prowler!AD352,":instance/",Prowler!AK352))</f>
        <v>arn:aws:ec2:::instance/</v>
      </c>
      <c r="F352" s="1" t="n">
        <f aca="false">Prowler!AJ352</f>
        <v>0</v>
      </c>
      <c r="G352" s="1" t="n">
        <f aca="false">Prowler!E352</f>
        <v>0</v>
      </c>
      <c r="H352" s="4" t="str">
        <f aca="false">_xlfn.TEXTJOIN(CHAR(10),1, Prowler!O352:Q352)</f>
        <v/>
      </c>
      <c r="I352" s="4" t="str">
        <f aca="false">_xlfn.TEXTJOIN(CHAR(10),1, Prowler!R352:W352)</f>
        <v/>
      </c>
      <c r="J352" s="1" t="n">
        <f aca="false">IF(Prowler!K352="critical",10, IF(Prowler!K352="high",7, IF(Prowler!K352="medium",5, 1)))</f>
        <v>1</v>
      </c>
      <c r="M352" s="3" t="n">
        <f aca="false">Prowler!A352</f>
        <v>0</v>
      </c>
      <c r="O352" s="4" t="str">
        <f aca="false">IF(Prowler!N352="", "", _xlfn.CONCAT("[{""key"":""",SUBSTITUTE(SUBSTITUTE(Prowler!N352,"=",""",""value"":""")," | ","""},{""key"":"""),"""}]"))</f>
        <v/>
      </c>
    </row>
    <row r="353" customFormat="false" ht="124.35" hidden="false" customHeight="false" outlineLevel="0" collapsed="false">
      <c r="B353" s="1" t="str">
        <f aca="false">UPPER(Prowler!C353)</f>
        <v/>
      </c>
      <c r="C353" s="1" t="str">
        <f aca="false">IF(Prowler!AL353&lt;&gt;"",Prowler!AL353, _xlfn.CONCAT("arn:aws:ec2:",F353,":",Prowler!AD353,":instance/",Prowler!AK353))</f>
        <v>arn:aws:ec2:::instance/</v>
      </c>
      <c r="F353" s="1" t="n">
        <f aca="false">Prowler!AJ353</f>
        <v>0</v>
      </c>
      <c r="G353" s="1" t="n">
        <f aca="false">Prowler!E353</f>
        <v>0</v>
      </c>
      <c r="H353" s="4" t="str">
        <f aca="false">_xlfn.TEXTJOIN(CHAR(10),1, Prowler!O353:Q353)</f>
        <v/>
      </c>
      <c r="I353" s="4" t="str">
        <f aca="false">_xlfn.TEXTJOIN(CHAR(10),1, Prowler!R353:W353)</f>
        <v/>
      </c>
      <c r="J353" s="1" t="n">
        <f aca="false">IF(Prowler!K353="critical",10, IF(Prowler!K353="high",7, IF(Prowler!K353="medium",5, 1)))</f>
        <v>1</v>
      </c>
      <c r="M353" s="3" t="n">
        <f aca="false">Prowler!A353</f>
        <v>0</v>
      </c>
      <c r="O353" s="4" t="str">
        <f aca="false">IF(Prowler!N353="", "", _xlfn.CONCAT("[{""key"":""",SUBSTITUTE(SUBSTITUTE(Prowler!N353,"=",""",""value"":""")," | ","""},{""key"":"""),"""}]"))</f>
        <v/>
      </c>
    </row>
    <row r="354" customFormat="false" ht="90.7" hidden="false" customHeight="false" outlineLevel="0" collapsed="false">
      <c r="B354" s="1" t="str">
        <f aca="false">UPPER(Prowler!C354)</f>
        <v/>
      </c>
      <c r="C354" s="1" t="str">
        <f aca="false">IF(Prowler!AL354&lt;&gt;"",Prowler!AL354, _xlfn.CONCAT("arn:aws:ec2:",F354,":",Prowler!AD354,":instance/",Prowler!AK354))</f>
        <v>arn:aws:ec2:::instance/</v>
      </c>
      <c r="F354" s="1" t="n">
        <f aca="false">Prowler!AJ354</f>
        <v>0</v>
      </c>
      <c r="G354" s="1" t="n">
        <f aca="false">Prowler!E354</f>
        <v>0</v>
      </c>
      <c r="H354" s="4" t="str">
        <f aca="false">_xlfn.TEXTJOIN(CHAR(10),1, Prowler!O354:Q354)</f>
        <v/>
      </c>
      <c r="I354" s="4" t="str">
        <f aca="false">_xlfn.TEXTJOIN(CHAR(10),1, Prowler!R354:W354)</f>
        <v/>
      </c>
      <c r="J354" s="1" t="n">
        <f aca="false">IF(Prowler!K354="critical",10, IF(Prowler!K354="high",7, IF(Prowler!K354="medium",5, 1)))</f>
        <v>1</v>
      </c>
      <c r="M354" s="3" t="n">
        <f aca="false">Prowler!A354</f>
        <v>0</v>
      </c>
      <c r="O354" s="4" t="str">
        <f aca="false">IF(Prowler!N354="", "", _xlfn.CONCAT("[{""key"":""",SUBSTITUTE(SUBSTITUTE(Prowler!N354,"=",""",""value"":""")," | ","""},{""key"":"""),"""}]"))</f>
        <v/>
      </c>
    </row>
    <row r="355" customFormat="false" ht="113.05" hidden="false" customHeight="false" outlineLevel="0" collapsed="false">
      <c r="B355" s="1" t="str">
        <f aca="false">UPPER(Prowler!C355)</f>
        <v/>
      </c>
      <c r="C355" s="1" t="str">
        <f aca="false">IF(Prowler!AL355&lt;&gt;"",Prowler!AL355, _xlfn.CONCAT("arn:aws:ec2:",F355,":",Prowler!AD355,":instance/",Prowler!AK355))</f>
        <v>arn:aws:ec2:::instance/</v>
      </c>
      <c r="F355" s="1" t="n">
        <f aca="false">Prowler!AJ355</f>
        <v>0</v>
      </c>
      <c r="G355" s="1" t="n">
        <f aca="false">Prowler!E355</f>
        <v>0</v>
      </c>
      <c r="H355" s="4" t="str">
        <f aca="false">_xlfn.TEXTJOIN(CHAR(10),1, Prowler!O355:Q355)</f>
        <v/>
      </c>
      <c r="I355" s="4" t="str">
        <f aca="false">_xlfn.TEXTJOIN(CHAR(10),1, Prowler!R355:W355)</f>
        <v/>
      </c>
      <c r="J355" s="1" t="n">
        <f aca="false">IF(Prowler!K355="critical",10, IF(Prowler!K355="high",7, IF(Prowler!K355="medium",5, 1)))</f>
        <v>1</v>
      </c>
      <c r="M355" s="3" t="n">
        <f aca="false">Prowler!A355</f>
        <v>0</v>
      </c>
      <c r="O355" s="4" t="str">
        <f aca="false">IF(Prowler!N355="", "", _xlfn.CONCAT("[{""key"":""",SUBSTITUTE(SUBSTITUTE(Prowler!N355,"=",""",""value"":""")," | ","""},{""key"":"""),"""}]"))</f>
        <v/>
      </c>
    </row>
    <row r="356" customFormat="false" ht="113.05" hidden="false" customHeight="false" outlineLevel="0" collapsed="false">
      <c r="B356" s="1" t="str">
        <f aca="false">UPPER(Prowler!C356)</f>
        <v/>
      </c>
      <c r="C356" s="1" t="str">
        <f aca="false">IF(Prowler!AL356&lt;&gt;"",Prowler!AL356, _xlfn.CONCAT("arn:aws:ec2:",F356,":",Prowler!AD356,":instance/",Prowler!AK356))</f>
        <v>arn:aws:ec2:::instance/</v>
      </c>
      <c r="F356" s="1" t="n">
        <f aca="false">Prowler!AJ356</f>
        <v>0</v>
      </c>
      <c r="G356" s="1" t="n">
        <f aca="false">Prowler!E356</f>
        <v>0</v>
      </c>
      <c r="H356" s="4" t="str">
        <f aca="false">_xlfn.TEXTJOIN(CHAR(10),1, Prowler!O356:Q356)</f>
        <v/>
      </c>
      <c r="I356" s="4" t="str">
        <f aca="false">_xlfn.TEXTJOIN(CHAR(10),1, Prowler!R356:W356)</f>
        <v/>
      </c>
      <c r="J356" s="1" t="n">
        <f aca="false">IF(Prowler!K356="critical",10, IF(Prowler!K356="high",7, IF(Prowler!K356="medium",5, 1)))</f>
        <v>1</v>
      </c>
      <c r="M356" s="3" t="n">
        <f aca="false">Prowler!A356</f>
        <v>0</v>
      </c>
      <c r="O356" s="4" t="str">
        <f aca="false">IF(Prowler!N356="", "", _xlfn.CONCAT("[{""key"":""",SUBSTITUTE(SUBSTITUTE(Prowler!N356,"=",""",""value"":""")," | ","""},{""key"":"""),"""}]"))</f>
        <v/>
      </c>
    </row>
    <row r="357" customFormat="false" ht="113.05" hidden="false" customHeight="false" outlineLevel="0" collapsed="false">
      <c r="B357" s="1" t="str">
        <f aca="false">UPPER(Prowler!C357)</f>
        <v/>
      </c>
      <c r="C357" s="1" t="str">
        <f aca="false">IF(Prowler!AL357&lt;&gt;"",Prowler!AL357, _xlfn.CONCAT("arn:aws:ec2:",F357,":",Prowler!AD357,":instance/",Prowler!AK357))</f>
        <v>arn:aws:ec2:::instance/</v>
      </c>
      <c r="F357" s="1" t="n">
        <f aca="false">Prowler!AJ357</f>
        <v>0</v>
      </c>
      <c r="G357" s="1" t="n">
        <f aca="false">Prowler!E357</f>
        <v>0</v>
      </c>
      <c r="H357" s="4" t="str">
        <f aca="false">_xlfn.TEXTJOIN(CHAR(10),1, Prowler!O357:Q357)</f>
        <v/>
      </c>
      <c r="I357" s="4" t="str">
        <f aca="false">_xlfn.TEXTJOIN(CHAR(10),1, Prowler!R357:W357)</f>
        <v/>
      </c>
      <c r="J357" s="1" t="n">
        <f aca="false">IF(Prowler!K357="critical",10, IF(Prowler!K357="high",7, IF(Prowler!K357="medium",5, 1)))</f>
        <v>1</v>
      </c>
      <c r="M357" s="3" t="n">
        <f aca="false">Prowler!A357</f>
        <v>0</v>
      </c>
      <c r="O357" s="4" t="str">
        <f aca="false">IF(Prowler!N357="", "", _xlfn.CONCAT("[{""key"":""",SUBSTITUTE(SUBSTITUTE(Prowler!N357,"=",""",""value"":""")," | ","""},{""key"":"""),"""}]"))</f>
        <v/>
      </c>
    </row>
    <row r="358" customFormat="false" ht="113.05" hidden="false" customHeight="false" outlineLevel="0" collapsed="false">
      <c r="B358" s="1" t="str">
        <f aca="false">UPPER(Prowler!C358)</f>
        <v/>
      </c>
      <c r="C358" s="1" t="str">
        <f aca="false">IF(Prowler!AL358&lt;&gt;"",Prowler!AL358, _xlfn.CONCAT("arn:aws:ec2:",F358,":",Prowler!AD358,":instance/",Prowler!AK358))</f>
        <v>arn:aws:ec2:::instance/</v>
      </c>
      <c r="F358" s="1" t="n">
        <f aca="false">Prowler!AJ358</f>
        <v>0</v>
      </c>
      <c r="G358" s="1" t="n">
        <f aca="false">Prowler!E358</f>
        <v>0</v>
      </c>
      <c r="H358" s="4" t="str">
        <f aca="false">_xlfn.TEXTJOIN(CHAR(10),1, Prowler!O358:Q358)</f>
        <v/>
      </c>
      <c r="I358" s="4" t="str">
        <f aca="false">_xlfn.TEXTJOIN(CHAR(10),1, Prowler!R358:W358)</f>
        <v/>
      </c>
      <c r="J358" s="1" t="n">
        <f aca="false">IF(Prowler!K358="critical",10, IF(Prowler!K358="high",7, IF(Prowler!K358="medium",5, 1)))</f>
        <v>1</v>
      </c>
      <c r="M358" s="3" t="n">
        <f aca="false">Prowler!A358</f>
        <v>0</v>
      </c>
      <c r="O358" s="4" t="str">
        <f aca="false">IF(Prowler!N358="", "", _xlfn.CONCAT("[{""key"":""",SUBSTITUTE(SUBSTITUTE(Prowler!N358,"=",""",""value"":""")," | ","""},{""key"":"""),"""}]"))</f>
        <v/>
      </c>
    </row>
    <row r="359" customFormat="false" ht="113.05" hidden="false" customHeight="false" outlineLevel="0" collapsed="false">
      <c r="B359" s="1" t="str">
        <f aca="false">UPPER(Prowler!C359)</f>
        <v/>
      </c>
      <c r="C359" s="1" t="str">
        <f aca="false">IF(Prowler!AL359&lt;&gt;"",Prowler!AL359, _xlfn.CONCAT("arn:aws:ec2:",F359,":",Prowler!AD359,":instance/",Prowler!AK359))</f>
        <v>arn:aws:ec2:::instance/</v>
      </c>
      <c r="F359" s="1" t="n">
        <f aca="false">Prowler!AJ359</f>
        <v>0</v>
      </c>
      <c r="G359" s="1" t="n">
        <f aca="false">Prowler!E359</f>
        <v>0</v>
      </c>
      <c r="H359" s="4" t="str">
        <f aca="false">_xlfn.TEXTJOIN(CHAR(10),1, Prowler!O359:Q359)</f>
        <v/>
      </c>
      <c r="I359" s="4" t="str">
        <f aca="false">_xlfn.TEXTJOIN(CHAR(10),1, Prowler!R359:W359)</f>
        <v/>
      </c>
      <c r="J359" s="1" t="n">
        <f aca="false">IF(Prowler!K359="critical",10, IF(Prowler!K359="high",7, IF(Prowler!K359="medium",5, 1)))</f>
        <v>1</v>
      </c>
      <c r="M359" s="3" t="n">
        <f aca="false">Prowler!A359</f>
        <v>0</v>
      </c>
      <c r="O359" s="4" t="str">
        <f aca="false">IF(Prowler!N359="", "", _xlfn.CONCAT("[{""key"":""",SUBSTITUTE(SUBSTITUTE(Prowler!N359,"=",""",""value"":""")," | ","""},{""key"":"""),"""}]"))</f>
        <v/>
      </c>
    </row>
    <row r="360" customFormat="false" ht="113.05" hidden="false" customHeight="false" outlineLevel="0" collapsed="false">
      <c r="B360" s="1" t="str">
        <f aca="false">UPPER(Prowler!C360)</f>
        <v/>
      </c>
      <c r="C360" s="1" t="str">
        <f aca="false">IF(Prowler!AL360&lt;&gt;"",Prowler!AL360, _xlfn.CONCAT("arn:aws:ec2:",F360,":",Prowler!AD360,":instance/",Prowler!AK360))</f>
        <v>arn:aws:ec2:::instance/</v>
      </c>
      <c r="F360" s="1" t="n">
        <f aca="false">Prowler!AJ360</f>
        <v>0</v>
      </c>
      <c r="G360" s="1" t="n">
        <f aca="false">Prowler!E360</f>
        <v>0</v>
      </c>
      <c r="H360" s="4" t="str">
        <f aca="false">_xlfn.TEXTJOIN(CHAR(10),1, Prowler!O360:Q360)</f>
        <v/>
      </c>
      <c r="I360" s="4" t="str">
        <f aca="false">_xlfn.TEXTJOIN(CHAR(10),1, Prowler!R360:W360)</f>
        <v/>
      </c>
      <c r="J360" s="1" t="n">
        <f aca="false">IF(Prowler!K360="critical",10, IF(Prowler!K360="high",7, IF(Prowler!K360="medium",5, 1)))</f>
        <v>1</v>
      </c>
      <c r="M360" s="3" t="n">
        <f aca="false">Prowler!A360</f>
        <v>0</v>
      </c>
      <c r="O360" s="4" t="str">
        <f aca="false">IF(Prowler!N360="", "", _xlfn.CONCAT("[{""key"":""",SUBSTITUTE(SUBSTITUTE(Prowler!N360,"=",""",""value"":""")," | ","""},{""key"":"""),"""}]"))</f>
        <v/>
      </c>
    </row>
    <row r="361" customFormat="false" ht="113.05" hidden="false" customHeight="false" outlineLevel="0" collapsed="false">
      <c r="B361" s="1" t="str">
        <f aca="false">UPPER(Prowler!C361)</f>
        <v/>
      </c>
      <c r="C361" s="1" t="str">
        <f aca="false">IF(Prowler!AL361&lt;&gt;"",Prowler!AL361, _xlfn.CONCAT("arn:aws:ec2:",F361,":",Prowler!AD361,":instance/",Prowler!AK361))</f>
        <v>arn:aws:ec2:::instance/</v>
      </c>
      <c r="F361" s="1" t="n">
        <f aca="false">Prowler!AJ361</f>
        <v>0</v>
      </c>
      <c r="G361" s="1" t="n">
        <f aca="false">Prowler!E361</f>
        <v>0</v>
      </c>
      <c r="H361" s="4" t="str">
        <f aca="false">_xlfn.TEXTJOIN(CHAR(10),1, Prowler!O361:Q361)</f>
        <v/>
      </c>
      <c r="I361" s="4" t="str">
        <f aca="false">_xlfn.TEXTJOIN(CHAR(10),1, Prowler!R361:W361)</f>
        <v/>
      </c>
      <c r="J361" s="1" t="n">
        <f aca="false">IF(Prowler!K361="critical",10, IF(Prowler!K361="high",7, IF(Prowler!K361="medium",5, 1)))</f>
        <v>1</v>
      </c>
      <c r="M361" s="3" t="n">
        <f aca="false">Prowler!A361</f>
        <v>0</v>
      </c>
      <c r="O361" s="4" t="str">
        <f aca="false">IF(Prowler!N361="", "", _xlfn.CONCAT("[{""key"":""",SUBSTITUTE(SUBSTITUTE(Prowler!N361,"=",""",""value"":""")," | ","""},{""key"":"""),"""}]"))</f>
        <v/>
      </c>
    </row>
    <row r="362" customFormat="false" ht="113.05" hidden="false" customHeight="false" outlineLevel="0" collapsed="false">
      <c r="B362" s="1" t="str">
        <f aca="false">UPPER(Prowler!C362)</f>
        <v/>
      </c>
      <c r="C362" s="1" t="str">
        <f aca="false">IF(Prowler!AL362&lt;&gt;"",Prowler!AL362, _xlfn.CONCAT("arn:aws:ec2:",F362,":",Prowler!AD362,":instance/",Prowler!AK362))</f>
        <v>arn:aws:ec2:::instance/</v>
      </c>
      <c r="F362" s="1" t="n">
        <f aca="false">Prowler!AJ362</f>
        <v>0</v>
      </c>
      <c r="G362" s="1" t="n">
        <f aca="false">Prowler!E362</f>
        <v>0</v>
      </c>
      <c r="H362" s="4" t="str">
        <f aca="false">_xlfn.TEXTJOIN(CHAR(10),1, Prowler!O362:Q362)</f>
        <v/>
      </c>
      <c r="I362" s="4" t="str">
        <f aca="false">_xlfn.TEXTJOIN(CHAR(10),1, Prowler!R362:W362)</f>
        <v/>
      </c>
      <c r="J362" s="1" t="n">
        <f aca="false">IF(Prowler!K362="critical",10, IF(Prowler!K362="high",7, IF(Prowler!K362="medium",5, 1)))</f>
        <v>1</v>
      </c>
      <c r="M362" s="3" t="n">
        <f aca="false">Prowler!A362</f>
        <v>0</v>
      </c>
      <c r="O362" s="4" t="str">
        <f aca="false">IF(Prowler!N362="", "", _xlfn.CONCAT("[{""key"":""",SUBSTITUTE(SUBSTITUTE(Prowler!N362,"=",""",""value"":""")," | ","""},{""key"":"""),"""}]"))</f>
        <v/>
      </c>
    </row>
    <row r="363" customFormat="false" ht="113.05" hidden="false" customHeight="false" outlineLevel="0" collapsed="false">
      <c r="B363" s="1" t="str">
        <f aca="false">UPPER(Prowler!C363)</f>
        <v/>
      </c>
      <c r="C363" s="1" t="str">
        <f aca="false">IF(Prowler!AL363&lt;&gt;"",Prowler!AL363, _xlfn.CONCAT("arn:aws:ec2:",F363,":",Prowler!AD363,":instance/",Prowler!AK363))</f>
        <v>arn:aws:ec2:::instance/</v>
      </c>
      <c r="F363" s="1" t="n">
        <f aca="false">Prowler!AJ363</f>
        <v>0</v>
      </c>
      <c r="G363" s="1" t="n">
        <f aca="false">Prowler!E363</f>
        <v>0</v>
      </c>
      <c r="H363" s="4" t="str">
        <f aca="false">_xlfn.TEXTJOIN(CHAR(10),1, Prowler!O363:Q363)</f>
        <v/>
      </c>
      <c r="I363" s="4" t="str">
        <f aca="false">_xlfn.TEXTJOIN(CHAR(10),1, Prowler!R363:W363)</f>
        <v/>
      </c>
      <c r="J363" s="1" t="n">
        <f aca="false">IF(Prowler!K363="critical",10, IF(Prowler!K363="high",7, IF(Prowler!K363="medium",5, 1)))</f>
        <v>1</v>
      </c>
      <c r="M363" s="3" t="n">
        <f aca="false">Prowler!A363</f>
        <v>0</v>
      </c>
      <c r="O363" s="4" t="str">
        <f aca="false">IF(Prowler!N363="", "", _xlfn.CONCAT("[{""key"":""",SUBSTITUTE(SUBSTITUTE(Prowler!N363,"=",""",""value"":""")," | ","""},{""key"":"""),"""}]"))</f>
        <v/>
      </c>
    </row>
    <row r="364" customFormat="false" ht="113.05" hidden="false" customHeight="false" outlineLevel="0" collapsed="false">
      <c r="B364" s="1" t="str">
        <f aca="false">UPPER(Prowler!C364)</f>
        <v/>
      </c>
      <c r="C364" s="1" t="str">
        <f aca="false">IF(Prowler!AL364&lt;&gt;"",Prowler!AL364, _xlfn.CONCAT("arn:aws:ec2:",F364,":",Prowler!AD364,":instance/",Prowler!AK364))</f>
        <v>arn:aws:ec2:::instance/</v>
      </c>
      <c r="F364" s="1" t="n">
        <f aca="false">Prowler!AJ364</f>
        <v>0</v>
      </c>
      <c r="G364" s="1" t="n">
        <f aca="false">Prowler!E364</f>
        <v>0</v>
      </c>
      <c r="H364" s="4" t="str">
        <f aca="false">_xlfn.TEXTJOIN(CHAR(10),1, Prowler!O364:Q364)</f>
        <v/>
      </c>
      <c r="I364" s="4" t="str">
        <f aca="false">_xlfn.TEXTJOIN(CHAR(10),1, Prowler!R364:W364)</f>
        <v/>
      </c>
      <c r="J364" s="1" t="n">
        <f aca="false">IF(Prowler!K364="critical",10, IF(Prowler!K364="high",7, IF(Prowler!K364="medium",5, 1)))</f>
        <v>1</v>
      </c>
      <c r="M364" s="3" t="n">
        <f aca="false">Prowler!A364</f>
        <v>0</v>
      </c>
      <c r="O364" s="4" t="str">
        <f aca="false">IF(Prowler!N364="", "", _xlfn.CONCAT("[{""key"":""",SUBSTITUTE(SUBSTITUTE(Prowler!N364,"=",""",""value"":""")," | ","""},{""key"":"""),"""}]"))</f>
        <v/>
      </c>
    </row>
    <row r="365" customFormat="false" ht="113.05" hidden="false" customHeight="false" outlineLevel="0" collapsed="false">
      <c r="B365" s="1" t="str">
        <f aca="false">UPPER(Prowler!C365)</f>
        <v/>
      </c>
      <c r="C365" s="1" t="str">
        <f aca="false">IF(Prowler!AL365&lt;&gt;"",Prowler!AL365, _xlfn.CONCAT("arn:aws:ec2:",F365,":",Prowler!AD365,":instance/",Prowler!AK365))</f>
        <v>arn:aws:ec2:::instance/</v>
      </c>
      <c r="F365" s="1" t="n">
        <f aca="false">Prowler!AJ365</f>
        <v>0</v>
      </c>
      <c r="G365" s="1" t="n">
        <f aca="false">Prowler!E365</f>
        <v>0</v>
      </c>
      <c r="H365" s="4" t="str">
        <f aca="false">_xlfn.TEXTJOIN(CHAR(10),1, Prowler!O365:Q365)</f>
        <v/>
      </c>
      <c r="I365" s="4" t="str">
        <f aca="false">_xlfn.TEXTJOIN(CHAR(10),1, Prowler!R365:W365)</f>
        <v/>
      </c>
      <c r="J365" s="1" t="n">
        <f aca="false">IF(Prowler!K365="critical",10, IF(Prowler!K365="high",7, IF(Prowler!K365="medium",5, 1)))</f>
        <v>1</v>
      </c>
      <c r="M365" s="3" t="n">
        <f aca="false">Prowler!A365</f>
        <v>0</v>
      </c>
      <c r="O365" s="4" t="str">
        <f aca="false">IF(Prowler!N365="", "", _xlfn.CONCAT("[{""key"":""",SUBSTITUTE(SUBSTITUTE(Prowler!N365,"=",""",""value"":""")," | ","""},{""key"":"""),"""}]"))</f>
        <v/>
      </c>
    </row>
    <row r="366" customFormat="false" ht="113.05" hidden="false" customHeight="false" outlineLevel="0" collapsed="false">
      <c r="B366" s="1" t="str">
        <f aca="false">UPPER(Prowler!C366)</f>
        <v/>
      </c>
      <c r="C366" s="1" t="str">
        <f aca="false">IF(Prowler!AL366&lt;&gt;"",Prowler!AL366, _xlfn.CONCAT("arn:aws:ec2:",F366,":",Prowler!AD366,":instance/",Prowler!AK366))</f>
        <v>arn:aws:ec2:::instance/</v>
      </c>
      <c r="F366" s="1" t="n">
        <f aca="false">Prowler!AJ366</f>
        <v>0</v>
      </c>
      <c r="G366" s="1" t="n">
        <f aca="false">Prowler!E366</f>
        <v>0</v>
      </c>
      <c r="H366" s="4" t="str">
        <f aca="false">_xlfn.TEXTJOIN(CHAR(10),1, Prowler!O366:Q366)</f>
        <v/>
      </c>
      <c r="I366" s="4" t="str">
        <f aca="false">_xlfn.TEXTJOIN(CHAR(10),1, Prowler!R366:W366)</f>
        <v/>
      </c>
      <c r="J366" s="1" t="n">
        <f aca="false">IF(Prowler!K366="critical",10, IF(Prowler!K366="high",7, IF(Prowler!K366="medium",5, 1)))</f>
        <v>1</v>
      </c>
      <c r="M366" s="3" t="n">
        <f aca="false">Prowler!A366</f>
        <v>0</v>
      </c>
      <c r="O366" s="4" t="str">
        <f aca="false">IF(Prowler!N366="", "", _xlfn.CONCAT("[{""key"":""",SUBSTITUTE(SUBSTITUTE(Prowler!N366,"=",""",""value"":""")," | ","""},{""key"":"""),"""}]"))</f>
        <v/>
      </c>
    </row>
    <row r="367" customFormat="false" ht="113.05" hidden="false" customHeight="false" outlineLevel="0" collapsed="false">
      <c r="B367" s="1" t="str">
        <f aca="false">UPPER(Prowler!C367)</f>
        <v/>
      </c>
      <c r="C367" s="1" t="str">
        <f aca="false">IF(Prowler!AL367&lt;&gt;"",Prowler!AL367, _xlfn.CONCAT("arn:aws:ec2:",F367,":",Prowler!AD367,":instance/",Prowler!AK367))</f>
        <v>arn:aws:ec2:::instance/</v>
      </c>
      <c r="F367" s="1" t="n">
        <f aca="false">Prowler!AJ367</f>
        <v>0</v>
      </c>
      <c r="G367" s="1" t="n">
        <f aca="false">Prowler!E367</f>
        <v>0</v>
      </c>
      <c r="H367" s="4" t="str">
        <f aca="false">_xlfn.TEXTJOIN(CHAR(10),1, Prowler!O367:Q367)</f>
        <v/>
      </c>
      <c r="I367" s="4" t="str">
        <f aca="false">_xlfn.TEXTJOIN(CHAR(10),1, Prowler!R367:W367)</f>
        <v/>
      </c>
      <c r="J367" s="1" t="n">
        <f aca="false">IF(Prowler!K367="critical",10, IF(Prowler!K367="high",7, IF(Prowler!K367="medium",5, 1)))</f>
        <v>1</v>
      </c>
      <c r="M367" s="3" t="n">
        <f aca="false">Prowler!A367</f>
        <v>0</v>
      </c>
      <c r="O367" s="4" t="str">
        <f aca="false">IF(Prowler!N367="", "", _xlfn.CONCAT("[{""key"":""",SUBSTITUTE(SUBSTITUTE(Prowler!N367,"=",""",""value"":""")," | ","""},{""key"":"""),"""}]"))</f>
        <v/>
      </c>
    </row>
    <row r="368" customFormat="false" ht="113.05" hidden="false" customHeight="false" outlineLevel="0" collapsed="false">
      <c r="B368" s="1" t="str">
        <f aca="false">UPPER(Prowler!C368)</f>
        <v/>
      </c>
      <c r="C368" s="1" t="str">
        <f aca="false">IF(Prowler!AL368&lt;&gt;"",Prowler!AL368, _xlfn.CONCAT("arn:aws:ec2:",F368,":",Prowler!AD368,":instance/",Prowler!AK368))</f>
        <v>arn:aws:ec2:::instance/</v>
      </c>
      <c r="F368" s="1" t="n">
        <f aca="false">Prowler!AJ368</f>
        <v>0</v>
      </c>
      <c r="G368" s="1" t="n">
        <f aca="false">Prowler!E368</f>
        <v>0</v>
      </c>
      <c r="H368" s="4" t="str">
        <f aca="false">_xlfn.TEXTJOIN(CHAR(10),1, Prowler!O368:Q368)</f>
        <v/>
      </c>
      <c r="I368" s="4" t="str">
        <f aca="false">_xlfn.TEXTJOIN(CHAR(10),1, Prowler!R368:W368)</f>
        <v/>
      </c>
      <c r="J368" s="1" t="n">
        <f aca="false">IF(Prowler!K368="critical",10, IF(Prowler!K368="high",7, IF(Prowler!K368="medium",5, 1)))</f>
        <v>1</v>
      </c>
      <c r="M368" s="3" t="n">
        <f aca="false">Prowler!A368</f>
        <v>0</v>
      </c>
      <c r="O368" s="4" t="str">
        <f aca="false">IF(Prowler!N368="", "", _xlfn.CONCAT("[{""key"":""",SUBSTITUTE(SUBSTITUTE(Prowler!N368,"=",""",""value"":""")," | ","""},{""key"":"""),"""}]"))</f>
        <v/>
      </c>
    </row>
    <row r="369" customFormat="false" ht="113.05" hidden="false" customHeight="false" outlineLevel="0" collapsed="false">
      <c r="B369" s="1" t="str">
        <f aca="false">UPPER(Prowler!C369)</f>
        <v/>
      </c>
      <c r="C369" s="1" t="str">
        <f aca="false">IF(Prowler!AL369&lt;&gt;"",Prowler!AL369, _xlfn.CONCAT("arn:aws:ec2:",F369,":",Prowler!AD369,":instance/",Prowler!AK369))</f>
        <v>arn:aws:ec2:::instance/</v>
      </c>
      <c r="F369" s="1" t="n">
        <f aca="false">Prowler!AJ369</f>
        <v>0</v>
      </c>
      <c r="G369" s="1" t="n">
        <f aca="false">Prowler!E369</f>
        <v>0</v>
      </c>
      <c r="H369" s="4" t="str">
        <f aca="false">_xlfn.TEXTJOIN(CHAR(10),1, Prowler!O369:Q369)</f>
        <v/>
      </c>
      <c r="I369" s="4" t="str">
        <f aca="false">_xlfn.TEXTJOIN(CHAR(10),1, Prowler!R369:W369)</f>
        <v/>
      </c>
      <c r="J369" s="1" t="n">
        <f aca="false">IF(Prowler!K369="critical",10, IF(Prowler!K369="high",7, IF(Prowler!K369="medium",5, 1)))</f>
        <v>1</v>
      </c>
      <c r="M369" s="3" t="n">
        <f aca="false">Prowler!A369</f>
        <v>0</v>
      </c>
      <c r="O369" s="4" t="str">
        <f aca="false">IF(Prowler!N369="", "", _xlfn.CONCAT("[{""key"":""",SUBSTITUTE(SUBSTITUTE(Prowler!N369,"=",""",""value"":""")," | ","""},{""key"":"""),"""}]"))</f>
        <v/>
      </c>
    </row>
    <row r="370" customFormat="false" ht="113.05" hidden="false" customHeight="false" outlineLevel="0" collapsed="false">
      <c r="B370" s="1" t="str">
        <f aca="false">UPPER(Prowler!C370)</f>
        <v/>
      </c>
      <c r="C370" s="1" t="str">
        <f aca="false">IF(Prowler!AL370&lt;&gt;"",Prowler!AL370, _xlfn.CONCAT("arn:aws:ec2:",F370,":",Prowler!AD370,":instance/",Prowler!AK370))</f>
        <v>arn:aws:ec2:::instance/</v>
      </c>
      <c r="F370" s="1" t="n">
        <f aca="false">Prowler!AJ370</f>
        <v>0</v>
      </c>
      <c r="G370" s="1" t="n">
        <f aca="false">Prowler!E370</f>
        <v>0</v>
      </c>
      <c r="H370" s="4" t="str">
        <f aca="false">_xlfn.TEXTJOIN(CHAR(10),1, Prowler!O370:Q370)</f>
        <v/>
      </c>
      <c r="I370" s="4" t="str">
        <f aca="false">_xlfn.TEXTJOIN(CHAR(10),1, Prowler!R370:W370)</f>
        <v/>
      </c>
      <c r="J370" s="1" t="n">
        <f aca="false">IF(Prowler!K370="critical",10, IF(Prowler!K370="high",7, IF(Prowler!K370="medium",5, 1)))</f>
        <v>1</v>
      </c>
      <c r="M370" s="3" t="n">
        <f aca="false">Prowler!A370</f>
        <v>0</v>
      </c>
      <c r="O370" s="4" t="str">
        <f aca="false">IF(Prowler!N370="", "", _xlfn.CONCAT("[{""key"":""",SUBSTITUTE(SUBSTITUTE(Prowler!N370,"=",""",""value"":""")," | ","""},{""key"":"""),"""}]"))</f>
        <v/>
      </c>
    </row>
    <row r="371" customFormat="false" ht="113.05" hidden="false" customHeight="false" outlineLevel="0" collapsed="false">
      <c r="B371" s="1" t="str">
        <f aca="false">UPPER(Prowler!C371)</f>
        <v/>
      </c>
      <c r="C371" s="1" t="str">
        <f aca="false">IF(Prowler!AL371&lt;&gt;"",Prowler!AL371, _xlfn.CONCAT("arn:aws:ec2:",F371,":",Prowler!AD371,":instance/",Prowler!AK371))</f>
        <v>arn:aws:ec2:::instance/</v>
      </c>
      <c r="F371" s="1" t="n">
        <f aca="false">Prowler!AJ371</f>
        <v>0</v>
      </c>
      <c r="G371" s="1" t="n">
        <f aca="false">Prowler!E371</f>
        <v>0</v>
      </c>
      <c r="H371" s="4" t="str">
        <f aca="false">_xlfn.TEXTJOIN(CHAR(10),1, Prowler!O371:Q371)</f>
        <v/>
      </c>
      <c r="I371" s="4" t="str">
        <f aca="false">_xlfn.TEXTJOIN(CHAR(10),1, Prowler!R371:W371)</f>
        <v/>
      </c>
      <c r="J371" s="1" t="n">
        <f aca="false">IF(Prowler!K371="critical",10, IF(Prowler!K371="high",7, IF(Prowler!K371="medium",5, 1)))</f>
        <v>1</v>
      </c>
      <c r="M371" s="3" t="n">
        <f aca="false">Prowler!A371</f>
        <v>0</v>
      </c>
      <c r="O371" s="4" t="str">
        <f aca="false">IF(Prowler!N371="", "", _xlfn.CONCAT("[{""key"":""",SUBSTITUTE(SUBSTITUTE(Prowler!N371,"=",""",""value"":""")," | ","""},{""key"":"""),"""}]"))</f>
        <v/>
      </c>
    </row>
    <row r="372" customFormat="false" ht="113.05" hidden="false" customHeight="false" outlineLevel="0" collapsed="false">
      <c r="B372" s="1" t="str">
        <f aca="false">UPPER(Prowler!C372)</f>
        <v/>
      </c>
      <c r="C372" s="1" t="str">
        <f aca="false">IF(Prowler!AL372&lt;&gt;"",Prowler!AL372, _xlfn.CONCAT("arn:aws:ec2:",F372,":",Prowler!AD372,":instance/",Prowler!AK372))</f>
        <v>arn:aws:ec2:::instance/</v>
      </c>
      <c r="F372" s="1" t="n">
        <f aca="false">Prowler!AJ372</f>
        <v>0</v>
      </c>
      <c r="G372" s="1" t="n">
        <f aca="false">Prowler!E372</f>
        <v>0</v>
      </c>
      <c r="H372" s="4" t="str">
        <f aca="false">_xlfn.TEXTJOIN(CHAR(10),1, Prowler!O372:Q372)</f>
        <v/>
      </c>
      <c r="I372" s="4" t="str">
        <f aca="false">_xlfn.TEXTJOIN(CHAR(10),1, Prowler!R372:W372)</f>
        <v/>
      </c>
      <c r="J372" s="1" t="n">
        <f aca="false">IF(Prowler!K372="critical",10, IF(Prowler!K372="high",7, IF(Prowler!K372="medium",5, 1)))</f>
        <v>1</v>
      </c>
      <c r="M372" s="3" t="n">
        <f aca="false">Prowler!A372</f>
        <v>0</v>
      </c>
      <c r="O372" s="4" t="str">
        <f aca="false">IF(Prowler!N372="", "", _xlfn.CONCAT("[{""key"":""",SUBSTITUTE(SUBSTITUTE(Prowler!N372,"=",""",""value"":""")," | ","""},{""key"":"""),"""}]"))</f>
        <v/>
      </c>
    </row>
    <row r="373" customFormat="false" ht="113.05" hidden="false" customHeight="false" outlineLevel="0" collapsed="false">
      <c r="B373" s="1" t="str">
        <f aca="false">UPPER(Prowler!C373)</f>
        <v/>
      </c>
      <c r="C373" s="1" t="str">
        <f aca="false">IF(Prowler!AL373&lt;&gt;"",Prowler!AL373, _xlfn.CONCAT("arn:aws:ec2:",F373,":",Prowler!AD373,":instance/",Prowler!AK373))</f>
        <v>arn:aws:ec2:::instance/</v>
      </c>
      <c r="F373" s="1" t="n">
        <f aca="false">Prowler!AJ373</f>
        <v>0</v>
      </c>
      <c r="G373" s="1" t="n">
        <f aca="false">Prowler!E373</f>
        <v>0</v>
      </c>
      <c r="H373" s="4" t="str">
        <f aca="false">_xlfn.TEXTJOIN(CHAR(10),1, Prowler!O373:Q373)</f>
        <v/>
      </c>
      <c r="I373" s="4" t="str">
        <f aca="false">_xlfn.TEXTJOIN(CHAR(10),1, Prowler!R373:W373)</f>
        <v/>
      </c>
      <c r="J373" s="1" t="n">
        <f aca="false">IF(Prowler!K373="critical",10, IF(Prowler!K373="high",7, IF(Prowler!K373="medium",5, 1)))</f>
        <v>1</v>
      </c>
      <c r="M373" s="3" t="n">
        <f aca="false">Prowler!A373</f>
        <v>0</v>
      </c>
      <c r="O373" s="4" t="str">
        <f aca="false">IF(Prowler!N373="", "", _xlfn.CONCAT("[{""key"":""",SUBSTITUTE(SUBSTITUTE(Prowler!N373,"=",""",""value"":""")," | ","""},{""key"":"""),"""}]"))</f>
        <v/>
      </c>
    </row>
    <row r="374" customFormat="false" ht="113.05" hidden="false" customHeight="false" outlineLevel="0" collapsed="false">
      <c r="B374" s="1" t="str">
        <f aca="false">UPPER(Prowler!C374)</f>
        <v/>
      </c>
      <c r="C374" s="1" t="str">
        <f aca="false">IF(Prowler!AL374&lt;&gt;"",Prowler!AL374, _xlfn.CONCAT("arn:aws:ec2:",F374,":",Prowler!AD374,":instance/",Prowler!AK374))</f>
        <v>arn:aws:ec2:::instance/</v>
      </c>
      <c r="F374" s="1" t="n">
        <f aca="false">Prowler!AJ374</f>
        <v>0</v>
      </c>
      <c r="G374" s="1" t="n">
        <f aca="false">Prowler!E374</f>
        <v>0</v>
      </c>
      <c r="H374" s="4" t="str">
        <f aca="false">_xlfn.TEXTJOIN(CHAR(10),1, Prowler!O374:Q374)</f>
        <v/>
      </c>
      <c r="I374" s="4" t="str">
        <f aca="false">_xlfn.TEXTJOIN(CHAR(10),1, Prowler!R374:W374)</f>
        <v/>
      </c>
      <c r="J374" s="1" t="n">
        <f aca="false">IF(Prowler!K374="critical",10, IF(Prowler!K374="high",7, IF(Prowler!K374="medium",5, 1)))</f>
        <v>1</v>
      </c>
      <c r="M374" s="3" t="n">
        <f aca="false">Prowler!A374</f>
        <v>0</v>
      </c>
      <c r="O374" s="4" t="str">
        <f aca="false">IF(Prowler!N374="", "", _xlfn.CONCAT("[{""key"":""",SUBSTITUTE(SUBSTITUTE(Prowler!N374,"=",""",""value"":""")," | ","""},{""key"":"""),"""}]"))</f>
        <v/>
      </c>
    </row>
    <row r="375" customFormat="false" ht="113.05" hidden="false" customHeight="false" outlineLevel="0" collapsed="false">
      <c r="B375" s="1" t="str">
        <f aca="false">UPPER(Prowler!C375)</f>
        <v/>
      </c>
      <c r="C375" s="1" t="str">
        <f aca="false">IF(Prowler!AL375&lt;&gt;"",Prowler!AL375, _xlfn.CONCAT("arn:aws:ec2:",F375,":",Prowler!AD375,":instance/",Prowler!AK375))</f>
        <v>arn:aws:ec2:::instance/</v>
      </c>
      <c r="F375" s="1" t="n">
        <f aca="false">Prowler!AJ375</f>
        <v>0</v>
      </c>
      <c r="G375" s="1" t="n">
        <f aca="false">Prowler!E375</f>
        <v>0</v>
      </c>
      <c r="H375" s="4" t="str">
        <f aca="false">_xlfn.TEXTJOIN(CHAR(10),1, Prowler!O375:Q375)</f>
        <v/>
      </c>
      <c r="I375" s="4" t="str">
        <f aca="false">_xlfn.TEXTJOIN(CHAR(10),1, Prowler!R375:W375)</f>
        <v/>
      </c>
      <c r="J375" s="1" t="n">
        <f aca="false">IF(Prowler!K375="critical",10, IF(Prowler!K375="high",7, IF(Prowler!K375="medium",5, 1)))</f>
        <v>1</v>
      </c>
      <c r="M375" s="3" t="n">
        <f aca="false">Prowler!A375</f>
        <v>0</v>
      </c>
      <c r="O375" s="4" t="str">
        <f aca="false">IF(Prowler!N375="", "", _xlfn.CONCAT("[{""key"":""",SUBSTITUTE(SUBSTITUTE(Prowler!N375,"=",""",""value"":""")," | ","""},{""key"":"""),"""}]"))</f>
        <v/>
      </c>
    </row>
    <row r="376" customFormat="false" ht="113.05" hidden="false" customHeight="false" outlineLevel="0" collapsed="false">
      <c r="B376" s="1" t="str">
        <f aca="false">UPPER(Prowler!C376)</f>
        <v/>
      </c>
      <c r="C376" s="1" t="str">
        <f aca="false">IF(Prowler!AL376&lt;&gt;"",Prowler!AL376, _xlfn.CONCAT("arn:aws:ec2:",F376,":",Prowler!AD376,":instance/",Prowler!AK376))</f>
        <v>arn:aws:ec2:::instance/</v>
      </c>
      <c r="F376" s="1" t="n">
        <f aca="false">Prowler!AJ376</f>
        <v>0</v>
      </c>
      <c r="G376" s="1" t="n">
        <f aca="false">Prowler!E376</f>
        <v>0</v>
      </c>
      <c r="H376" s="4" t="str">
        <f aca="false">_xlfn.TEXTJOIN(CHAR(10),1, Prowler!O376:Q376)</f>
        <v/>
      </c>
      <c r="I376" s="4" t="str">
        <f aca="false">_xlfn.TEXTJOIN(CHAR(10),1, Prowler!R376:W376)</f>
        <v/>
      </c>
      <c r="J376" s="1" t="n">
        <f aca="false">IF(Prowler!K376="critical",10, IF(Prowler!K376="high",7, IF(Prowler!K376="medium",5, 1)))</f>
        <v>1</v>
      </c>
      <c r="M376" s="3" t="n">
        <f aca="false">Prowler!A376</f>
        <v>0</v>
      </c>
      <c r="O376" s="4" t="str">
        <f aca="false">IF(Prowler!N376="", "", _xlfn.CONCAT("[{""key"":""",SUBSTITUTE(SUBSTITUTE(Prowler!N376,"=",""",""value"":""")," | ","""},{""key"":"""),"""}]"))</f>
        <v/>
      </c>
    </row>
    <row r="377" customFormat="false" ht="113.05" hidden="false" customHeight="false" outlineLevel="0" collapsed="false">
      <c r="B377" s="1" t="str">
        <f aca="false">UPPER(Prowler!C377)</f>
        <v/>
      </c>
      <c r="C377" s="1" t="str">
        <f aca="false">IF(Prowler!AL377&lt;&gt;"",Prowler!AL377, _xlfn.CONCAT("arn:aws:ec2:",F377,":",Prowler!AD377,":instance/",Prowler!AK377))</f>
        <v>arn:aws:ec2:::instance/</v>
      </c>
      <c r="F377" s="1" t="n">
        <f aca="false">Prowler!AJ377</f>
        <v>0</v>
      </c>
      <c r="G377" s="1" t="n">
        <f aca="false">Prowler!E377</f>
        <v>0</v>
      </c>
      <c r="H377" s="4" t="str">
        <f aca="false">_xlfn.TEXTJOIN(CHAR(10),1, Prowler!O377:Q377)</f>
        <v/>
      </c>
      <c r="I377" s="4" t="str">
        <f aca="false">_xlfn.TEXTJOIN(CHAR(10),1, Prowler!R377:W377)</f>
        <v/>
      </c>
      <c r="J377" s="1" t="n">
        <f aca="false">IF(Prowler!K377="critical",10, IF(Prowler!K377="high",7, IF(Prowler!K377="medium",5, 1)))</f>
        <v>1</v>
      </c>
      <c r="M377" s="3" t="n">
        <f aca="false">Prowler!A377</f>
        <v>0</v>
      </c>
      <c r="O377" s="4" t="str">
        <f aca="false">IF(Prowler!N377="", "", _xlfn.CONCAT("[{""key"":""",SUBSTITUTE(SUBSTITUTE(Prowler!N377,"=",""",""value"":""")," | ","""},{""key"":"""),"""}]"))</f>
        <v/>
      </c>
    </row>
    <row r="378" customFormat="false" ht="113.05" hidden="false" customHeight="false" outlineLevel="0" collapsed="false">
      <c r="B378" s="1" t="str">
        <f aca="false">UPPER(Prowler!C378)</f>
        <v/>
      </c>
      <c r="C378" s="1" t="str">
        <f aca="false">IF(Prowler!AL378&lt;&gt;"",Prowler!AL378, _xlfn.CONCAT("arn:aws:ec2:",F378,":",Prowler!AD378,":instance/",Prowler!AK378))</f>
        <v>arn:aws:ec2:::instance/</v>
      </c>
      <c r="F378" s="1" t="n">
        <f aca="false">Prowler!AJ378</f>
        <v>0</v>
      </c>
      <c r="G378" s="1" t="n">
        <f aca="false">Prowler!E378</f>
        <v>0</v>
      </c>
      <c r="H378" s="4" t="str">
        <f aca="false">_xlfn.TEXTJOIN(CHAR(10),1, Prowler!O378:Q378)</f>
        <v/>
      </c>
      <c r="I378" s="4" t="str">
        <f aca="false">_xlfn.TEXTJOIN(CHAR(10),1, Prowler!R378:W378)</f>
        <v/>
      </c>
      <c r="J378" s="1" t="n">
        <f aca="false">IF(Prowler!K378="critical",10, IF(Prowler!K378="high",7, IF(Prowler!K378="medium",5, 1)))</f>
        <v>1</v>
      </c>
      <c r="M378" s="3" t="n">
        <f aca="false">Prowler!A378</f>
        <v>0</v>
      </c>
      <c r="O378" s="4" t="str">
        <f aca="false">IF(Prowler!N378="", "", _xlfn.CONCAT("[{""key"":""",SUBSTITUTE(SUBSTITUTE(Prowler!N378,"=",""",""value"":""")," | ","""},{""key"":"""),"""}]"))</f>
        <v/>
      </c>
    </row>
    <row r="379" customFormat="false" ht="113.05" hidden="false" customHeight="false" outlineLevel="0" collapsed="false">
      <c r="B379" s="1" t="str">
        <f aca="false">UPPER(Prowler!C379)</f>
        <v/>
      </c>
      <c r="C379" s="1" t="str">
        <f aca="false">IF(Prowler!AL379&lt;&gt;"",Prowler!AL379, _xlfn.CONCAT("arn:aws:ec2:",F379,":",Prowler!AD379,":instance/",Prowler!AK379))</f>
        <v>arn:aws:ec2:::instance/</v>
      </c>
      <c r="F379" s="1" t="n">
        <f aca="false">Prowler!AJ379</f>
        <v>0</v>
      </c>
      <c r="G379" s="1" t="n">
        <f aca="false">Prowler!E379</f>
        <v>0</v>
      </c>
      <c r="H379" s="4" t="str">
        <f aca="false">_xlfn.TEXTJOIN(CHAR(10),1, Prowler!O379:Q379)</f>
        <v/>
      </c>
      <c r="I379" s="4" t="str">
        <f aca="false">_xlfn.TEXTJOIN(CHAR(10),1, Prowler!R379:W379)</f>
        <v/>
      </c>
      <c r="J379" s="1" t="n">
        <f aca="false">IF(Prowler!K379="critical",10, IF(Prowler!K379="high",7, IF(Prowler!K379="medium",5, 1)))</f>
        <v>1</v>
      </c>
      <c r="M379" s="3" t="n">
        <f aca="false">Prowler!A379</f>
        <v>0</v>
      </c>
      <c r="O379" s="4" t="str">
        <f aca="false">IF(Prowler!N379="", "", _xlfn.CONCAT("[{""key"":""",SUBSTITUTE(SUBSTITUTE(Prowler!N379,"=",""",""value"":""")," | ","""},{""key"":"""),"""}]"))</f>
        <v/>
      </c>
    </row>
    <row r="380" customFormat="false" ht="113.05" hidden="false" customHeight="false" outlineLevel="0" collapsed="false">
      <c r="B380" s="1" t="str">
        <f aca="false">UPPER(Prowler!C380)</f>
        <v/>
      </c>
      <c r="C380" s="1" t="str">
        <f aca="false">IF(Prowler!AL380&lt;&gt;"",Prowler!AL380, _xlfn.CONCAT("arn:aws:ec2:",F380,":",Prowler!AD380,":instance/",Prowler!AK380))</f>
        <v>arn:aws:ec2:::instance/</v>
      </c>
      <c r="F380" s="1" t="n">
        <f aca="false">Prowler!AJ380</f>
        <v>0</v>
      </c>
      <c r="G380" s="1" t="n">
        <f aca="false">Prowler!E380</f>
        <v>0</v>
      </c>
      <c r="H380" s="4" t="str">
        <f aca="false">_xlfn.TEXTJOIN(CHAR(10),1, Prowler!O380:Q380)</f>
        <v/>
      </c>
      <c r="I380" s="4" t="str">
        <f aca="false">_xlfn.TEXTJOIN(CHAR(10),1, Prowler!R380:W380)</f>
        <v/>
      </c>
      <c r="J380" s="1" t="n">
        <f aca="false">IF(Prowler!K380="critical",10, IF(Prowler!K380="high",7, IF(Prowler!K380="medium",5, 1)))</f>
        <v>1</v>
      </c>
      <c r="M380" s="3" t="n">
        <f aca="false">Prowler!A380</f>
        <v>0</v>
      </c>
      <c r="O380" s="4" t="str">
        <f aca="false">IF(Prowler!N380="", "", _xlfn.CONCAT("[{""key"":""",SUBSTITUTE(SUBSTITUTE(Prowler!N380,"=",""",""value"":""")," | ","""},{""key"":"""),"""}]"))</f>
        <v/>
      </c>
    </row>
    <row r="381" customFormat="false" ht="113.05" hidden="false" customHeight="false" outlineLevel="0" collapsed="false">
      <c r="B381" s="1" t="str">
        <f aca="false">UPPER(Prowler!C381)</f>
        <v/>
      </c>
      <c r="C381" s="1" t="str">
        <f aca="false">IF(Prowler!AL381&lt;&gt;"",Prowler!AL381, _xlfn.CONCAT("arn:aws:ec2:",F381,":",Prowler!AD381,":instance/",Prowler!AK381))</f>
        <v>arn:aws:ec2:::instance/</v>
      </c>
      <c r="F381" s="1" t="n">
        <f aca="false">Prowler!AJ381</f>
        <v>0</v>
      </c>
      <c r="G381" s="1" t="n">
        <f aca="false">Prowler!E381</f>
        <v>0</v>
      </c>
      <c r="H381" s="4" t="str">
        <f aca="false">_xlfn.TEXTJOIN(CHAR(10),1, Prowler!O381:Q381)</f>
        <v/>
      </c>
      <c r="I381" s="4" t="str">
        <f aca="false">_xlfn.TEXTJOIN(CHAR(10),1, Prowler!R381:W381)</f>
        <v/>
      </c>
      <c r="J381" s="1" t="n">
        <f aca="false">IF(Prowler!K381="critical",10, IF(Prowler!K381="high",7, IF(Prowler!K381="medium",5, 1)))</f>
        <v>1</v>
      </c>
      <c r="M381" s="3" t="n">
        <f aca="false">Prowler!A381</f>
        <v>0</v>
      </c>
      <c r="O381" s="4" t="str">
        <f aca="false">IF(Prowler!N381="", "", _xlfn.CONCAT("[{""key"":""",SUBSTITUTE(SUBSTITUTE(Prowler!N381,"=",""",""value"":""")," | ","""},{""key"":"""),"""}]"))</f>
        <v/>
      </c>
    </row>
    <row r="382" customFormat="false" ht="113.05" hidden="false" customHeight="false" outlineLevel="0" collapsed="false">
      <c r="B382" s="1" t="str">
        <f aca="false">UPPER(Prowler!C382)</f>
        <v/>
      </c>
      <c r="C382" s="1" t="str">
        <f aca="false">IF(Prowler!AL382&lt;&gt;"",Prowler!AL382, _xlfn.CONCAT("arn:aws:ec2:",F382,":",Prowler!AD382,":instance/",Prowler!AK382))</f>
        <v>arn:aws:ec2:::instance/</v>
      </c>
      <c r="F382" s="1" t="n">
        <f aca="false">Prowler!AJ382</f>
        <v>0</v>
      </c>
      <c r="G382" s="1" t="n">
        <f aca="false">Prowler!E382</f>
        <v>0</v>
      </c>
      <c r="H382" s="4" t="str">
        <f aca="false">_xlfn.TEXTJOIN(CHAR(10),1, Prowler!O382:Q382)</f>
        <v/>
      </c>
      <c r="I382" s="4" t="str">
        <f aca="false">_xlfn.TEXTJOIN(CHAR(10),1, Prowler!R382:W382)</f>
        <v/>
      </c>
      <c r="J382" s="1" t="n">
        <f aca="false">IF(Prowler!K382="critical",10, IF(Prowler!K382="high",7, IF(Prowler!K382="medium",5, 1)))</f>
        <v>1</v>
      </c>
      <c r="M382" s="3" t="n">
        <f aca="false">Prowler!A382</f>
        <v>0</v>
      </c>
      <c r="O382" s="4" t="str">
        <f aca="false">IF(Prowler!N382="", "", _xlfn.CONCAT("[{""key"":""",SUBSTITUTE(SUBSTITUTE(Prowler!N382,"=",""",""value"":""")," | ","""},{""key"":"""),"""}]"))</f>
        <v/>
      </c>
    </row>
    <row r="383" customFormat="false" ht="113.05" hidden="false" customHeight="false" outlineLevel="0" collapsed="false">
      <c r="B383" s="1" t="str">
        <f aca="false">UPPER(Prowler!C383)</f>
        <v/>
      </c>
      <c r="C383" s="1" t="str">
        <f aca="false">IF(Prowler!AL383&lt;&gt;"",Prowler!AL383, _xlfn.CONCAT("arn:aws:ec2:",F383,":",Prowler!AD383,":instance/",Prowler!AK383))</f>
        <v>arn:aws:ec2:::instance/</v>
      </c>
      <c r="F383" s="1" t="n">
        <f aca="false">Prowler!AJ383</f>
        <v>0</v>
      </c>
      <c r="G383" s="1" t="n">
        <f aca="false">Prowler!E383</f>
        <v>0</v>
      </c>
      <c r="H383" s="4" t="str">
        <f aca="false">_xlfn.TEXTJOIN(CHAR(10),1, Prowler!O383:Q383)</f>
        <v/>
      </c>
      <c r="I383" s="4" t="str">
        <f aca="false">_xlfn.TEXTJOIN(CHAR(10),1, Prowler!R383:W383)</f>
        <v/>
      </c>
      <c r="J383" s="1" t="n">
        <f aca="false">IF(Prowler!K383="critical",10, IF(Prowler!K383="high",7, IF(Prowler!K383="medium",5, 1)))</f>
        <v>1</v>
      </c>
      <c r="M383" s="3" t="n">
        <f aca="false">Prowler!A383</f>
        <v>0</v>
      </c>
      <c r="O383" s="4" t="str">
        <f aca="false">IF(Prowler!N383="", "", _xlfn.CONCAT("[{""key"":""",SUBSTITUTE(SUBSTITUTE(Prowler!N383,"=",""",""value"":""")," | ","""},{""key"":"""),"""}]"))</f>
        <v/>
      </c>
    </row>
    <row r="384" customFormat="false" ht="113.05" hidden="false" customHeight="false" outlineLevel="0" collapsed="false">
      <c r="B384" s="1" t="str">
        <f aca="false">UPPER(Prowler!C384)</f>
        <v/>
      </c>
      <c r="C384" s="1" t="str">
        <f aca="false">IF(Prowler!AL384&lt;&gt;"",Prowler!AL384, _xlfn.CONCAT("arn:aws:ec2:",F384,":",Prowler!AD384,":instance/",Prowler!AK384))</f>
        <v>arn:aws:ec2:::instance/</v>
      </c>
      <c r="F384" s="1" t="n">
        <f aca="false">Prowler!AJ384</f>
        <v>0</v>
      </c>
      <c r="G384" s="1" t="n">
        <f aca="false">Prowler!E384</f>
        <v>0</v>
      </c>
      <c r="H384" s="4" t="str">
        <f aca="false">_xlfn.TEXTJOIN(CHAR(10),1, Prowler!O384:Q384)</f>
        <v/>
      </c>
      <c r="I384" s="4" t="str">
        <f aca="false">_xlfn.TEXTJOIN(CHAR(10),1, Prowler!R384:W384)</f>
        <v/>
      </c>
      <c r="J384" s="1" t="n">
        <f aca="false">IF(Prowler!K384="critical",10, IF(Prowler!K384="high",7, IF(Prowler!K384="medium",5, 1)))</f>
        <v>1</v>
      </c>
      <c r="M384" s="3" t="n">
        <f aca="false">Prowler!A384</f>
        <v>0</v>
      </c>
      <c r="O384" s="4" t="str">
        <f aca="false">IF(Prowler!N384="", "", _xlfn.CONCAT("[{""key"":""",SUBSTITUTE(SUBSTITUTE(Prowler!N384,"=",""",""value"":""")," | ","""},{""key"":"""),"""}]"))</f>
        <v/>
      </c>
    </row>
    <row r="385" customFormat="false" ht="113.05" hidden="false" customHeight="false" outlineLevel="0" collapsed="false">
      <c r="B385" s="1" t="str">
        <f aca="false">UPPER(Prowler!C385)</f>
        <v/>
      </c>
      <c r="C385" s="1" t="str">
        <f aca="false">IF(Prowler!AL385&lt;&gt;"",Prowler!AL385, _xlfn.CONCAT("arn:aws:ec2:",F385,":",Prowler!AD385,":instance/",Prowler!AK385))</f>
        <v>arn:aws:ec2:::instance/</v>
      </c>
      <c r="F385" s="1" t="n">
        <f aca="false">Prowler!AJ385</f>
        <v>0</v>
      </c>
      <c r="G385" s="1" t="n">
        <f aca="false">Prowler!E385</f>
        <v>0</v>
      </c>
      <c r="H385" s="4" t="str">
        <f aca="false">_xlfn.TEXTJOIN(CHAR(10),1, Prowler!O385:Q385)</f>
        <v/>
      </c>
      <c r="I385" s="4" t="str">
        <f aca="false">_xlfn.TEXTJOIN(CHAR(10),1, Prowler!R385:W385)</f>
        <v/>
      </c>
      <c r="J385" s="1" t="n">
        <f aca="false">IF(Prowler!K385="critical",10, IF(Prowler!K385="high",7, IF(Prowler!K385="medium",5, 1)))</f>
        <v>1</v>
      </c>
      <c r="M385" s="3" t="n">
        <f aca="false">Prowler!A385</f>
        <v>0</v>
      </c>
      <c r="O385" s="4" t="str">
        <f aca="false">IF(Prowler!N385="", "", _xlfn.CONCAT("[{""key"":""",SUBSTITUTE(SUBSTITUTE(Prowler!N385,"=",""",""value"":""")," | ","""},{""key"":"""),"""}]"))</f>
        <v/>
      </c>
    </row>
    <row r="386" customFormat="false" ht="113.05" hidden="false" customHeight="false" outlineLevel="0" collapsed="false">
      <c r="B386" s="1" t="str">
        <f aca="false">UPPER(Prowler!C386)</f>
        <v/>
      </c>
      <c r="C386" s="1" t="str">
        <f aca="false">IF(Prowler!AL386&lt;&gt;"",Prowler!AL386, _xlfn.CONCAT("arn:aws:ec2:",F386,":",Prowler!AD386,":instance/",Prowler!AK386))</f>
        <v>arn:aws:ec2:::instance/</v>
      </c>
      <c r="F386" s="1" t="n">
        <f aca="false">Prowler!AJ386</f>
        <v>0</v>
      </c>
      <c r="G386" s="1" t="n">
        <f aca="false">Prowler!E386</f>
        <v>0</v>
      </c>
      <c r="H386" s="4" t="str">
        <f aca="false">_xlfn.TEXTJOIN(CHAR(10),1, Prowler!O386:Q386)</f>
        <v/>
      </c>
      <c r="I386" s="4" t="str">
        <f aca="false">_xlfn.TEXTJOIN(CHAR(10),1, Prowler!R386:W386)</f>
        <v/>
      </c>
      <c r="J386" s="1" t="n">
        <f aca="false">IF(Prowler!K386="critical",10, IF(Prowler!K386="high",7, IF(Prowler!K386="medium",5, 1)))</f>
        <v>1</v>
      </c>
      <c r="M386" s="3" t="n">
        <f aca="false">Prowler!A386</f>
        <v>0</v>
      </c>
      <c r="O386" s="4" t="str">
        <f aca="false">IF(Prowler!N386="", "", _xlfn.CONCAT("[{""key"":""",SUBSTITUTE(SUBSTITUTE(Prowler!N386,"=",""",""value"":""")," | ","""},{""key"":"""),"""}]"))</f>
        <v/>
      </c>
    </row>
    <row r="387" customFormat="false" ht="113.05" hidden="false" customHeight="false" outlineLevel="0" collapsed="false">
      <c r="B387" s="1" t="str">
        <f aca="false">UPPER(Prowler!C387)</f>
        <v/>
      </c>
      <c r="C387" s="1" t="str">
        <f aca="false">IF(Prowler!AL387&lt;&gt;"",Prowler!AL387, _xlfn.CONCAT("arn:aws:ec2:",F387,":",Prowler!AD387,":instance/",Prowler!AK387))</f>
        <v>arn:aws:ec2:::instance/</v>
      </c>
      <c r="F387" s="1" t="n">
        <f aca="false">Prowler!AJ387</f>
        <v>0</v>
      </c>
      <c r="G387" s="1" t="n">
        <f aca="false">Prowler!E387</f>
        <v>0</v>
      </c>
      <c r="H387" s="4" t="str">
        <f aca="false">_xlfn.TEXTJOIN(CHAR(10),1, Prowler!O387:Q387)</f>
        <v/>
      </c>
      <c r="I387" s="4" t="str">
        <f aca="false">_xlfn.TEXTJOIN(CHAR(10),1, Prowler!R387:W387)</f>
        <v/>
      </c>
      <c r="J387" s="1" t="n">
        <f aca="false">IF(Prowler!K387="critical",10, IF(Prowler!K387="high",7, IF(Prowler!K387="medium",5, 1)))</f>
        <v>1</v>
      </c>
      <c r="M387" s="3" t="n">
        <f aca="false">Prowler!A387</f>
        <v>0</v>
      </c>
      <c r="O387" s="4" t="str">
        <f aca="false">IF(Prowler!N387="", "", _xlfn.CONCAT("[{""key"":""",SUBSTITUTE(SUBSTITUTE(Prowler!N387,"=",""",""value"":""")," | ","""},{""key"":"""),"""}]"))</f>
        <v/>
      </c>
    </row>
    <row r="388" customFormat="false" ht="113.05" hidden="false" customHeight="false" outlineLevel="0" collapsed="false">
      <c r="B388" s="1" t="str">
        <f aca="false">UPPER(Prowler!C388)</f>
        <v/>
      </c>
      <c r="C388" s="1" t="str">
        <f aca="false">IF(Prowler!AL388&lt;&gt;"",Prowler!AL388, _xlfn.CONCAT("arn:aws:ec2:",F388,":",Prowler!AD388,":instance/",Prowler!AK388))</f>
        <v>arn:aws:ec2:::instance/</v>
      </c>
      <c r="F388" s="1" t="n">
        <f aca="false">Prowler!AJ388</f>
        <v>0</v>
      </c>
      <c r="G388" s="1" t="n">
        <f aca="false">Prowler!E388</f>
        <v>0</v>
      </c>
      <c r="H388" s="4" t="str">
        <f aca="false">_xlfn.TEXTJOIN(CHAR(10),1, Prowler!O388:Q388)</f>
        <v/>
      </c>
      <c r="I388" s="4" t="str">
        <f aca="false">_xlfn.TEXTJOIN(CHAR(10),1, Prowler!R388:W388)</f>
        <v/>
      </c>
      <c r="J388" s="1" t="n">
        <f aca="false">IF(Prowler!K388="critical",10, IF(Prowler!K388="high",7, IF(Prowler!K388="medium",5, 1)))</f>
        <v>1</v>
      </c>
      <c r="M388" s="3" t="n">
        <f aca="false">Prowler!A388</f>
        <v>0</v>
      </c>
      <c r="O388" s="4" t="str">
        <f aca="false">IF(Prowler!N388="", "", _xlfn.CONCAT("[{""key"":""",SUBSTITUTE(SUBSTITUTE(Prowler!N388,"=",""",""value"":""")," | ","""},{""key"":"""),"""}]"))</f>
        <v/>
      </c>
    </row>
    <row r="389" customFormat="false" ht="90.7" hidden="false" customHeight="false" outlineLevel="0" collapsed="false">
      <c r="B389" s="1" t="str">
        <f aca="false">UPPER(Prowler!C389)</f>
        <v/>
      </c>
      <c r="C389" s="1" t="str">
        <f aca="false">IF(Prowler!AL389&lt;&gt;"",Prowler!AL389, _xlfn.CONCAT("arn:aws:ec2:",F389,":",Prowler!AD389,":instance/",Prowler!AK389))</f>
        <v>arn:aws:ec2:::instance/</v>
      </c>
      <c r="F389" s="1" t="n">
        <f aca="false">Prowler!AJ389</f>
        <v>0</v>
      </c>
      <c r="G389" s="1" t="n">
        <f aca="false">Prowler!E389</f>
        <v>0</v>
      </c>
      <c r="H389" s="4" t="str">
        <f aca="false">_xlfn.TEXTJOIN(CHAR(10),1, Prowler!O389:Q389)</f>
        <v/>
      </c>
      <c r="I389" s="4" t="str">
        <f aca="false">_xlfn.TEXTJOIN(CHAR(10),1, Prowler!R389:W389)</f>
        <v/>
      </c>
      <c r="J389" s="1" t="n">
        <f aca="false">IF(Prowler!K389="critical",10, IF(Prowler!K389="high",7, IF(Prowler!K389="medium",5, 1)))</f>
        <v>1</v>
      </c>
      <c r="M389" s="3" t="n">
        <f aca="false">Prowler!A389</f>
        <v>0</v>
      </c>
      <c r="O389" s="4" t="str">
        <f aca="false">IF(Prowler!N389="", "", _xlfn.CONCAT("[{""key"":""",SUBSTITUTE(SUBSTITUTE(Prowler!N389,"=",""",""value"":""")," | ","""},{""key"":"""),"""}]"))</f>
        <v/>
      </c>
    </row>
    <row r="390" customFormat="false" ht="90.7" hidden="false" customHeight="false" outlineLevel="0" collapsed="false">
      <c r="B390" s="1" t="str">
        <f aca="false">UPPER(Prowler!C390)</f>
        <v/>
      </c>
      <c r="C390" s="1" t="str">
        <f aca="false">IF(Prowler!AL390&lt;&gt;"",Prowler!AL390, _xlfn.CONCAT("arn:aws:ec2:",F390,":",Prowler!AD390,":instance/",Prowler!AK390))</f>
        <v>arn:aws:ec2:::instance/</v>
      </c>
      <c r="F390" s="1" t="n">
        <f aca="false">Prowler!AJ390</f>
        <v>0</v>
      </c>
      <c r="G390" s="1" t="n">
        <f aca="false">Prowler!E390</f>
        <v>0</v>
      </c>
      <c r="H390" s="4" t="str">
        <f aca="false">_xlfn.TEXTJOIN(CHAR(10),1, Prowler!O390:Q390)</f>
        <v/>
      </c>
      <c r="I390" s="4" t="str">
        <f aca="false">_xlfn.TEXTJOIN(CHAR(10),1, Prowler!R390:W390)</f>
        <v/>
      </c>
      <c r="J390" s="1" t="n">
        <f aca="false">IF(Prowler!K390="critical",10, IF(Prowler!K390="high",7, IF(Prowler!K390="medium",5, 1)))</f>
        <v>1</v>
      </c>
      <c r="M390" s="3" t="n">
        <f aca="false">Prowler!A390</f>
        <v>0</v>
      </c>
      <c r="O390" s="4" t="str">
        <f aca="false">IF(Prowler!N390="", "", _xlfn.CONCAT("[{""key"":""",SUBSTITUTE(SUBSTITUTE(Prowler!N390,"=",""",""value"":""")," | ","""},{""key"":"""),"""}]"))</f>
        <v/>
      </c>
    </row>
    <row r="391" customFormat="false" ht="90.7" hidden="false" customHeight="false" outlineLevel="0" collapsed="false">
      <c r="B391" s="1" t="str">
        <f aca="false">UPPER(Prowler!C391)</f>
        <v/>
      </c>
      <c r="C391" s="1" t="str">
        <f aca="false">IF(Prowler!AL391&lt;&gt;"",Prowler!AL391, _xlfn.CONCAT("arn:aws:ec2:",F391,":",Prowler!AD391,":instance/",Prowler!AK391))</f>
        <v>arn:aws:ec2:::instance/</v>
      </c>
      <c r="F391" s="1" t="n">
        <f aca="false">Prowler!AJ391</f>
        <v>0</v>
      </c>
      <c r="G391" s="1" t="n">
        <f aca="false">Prowler!E391</f>
        <v>0</v>
      </c>
      <c r="H391" s="4" t="str">
        <f aca="false">_xlfn.TEXTJOIN(CHAR(10),1, Prowler!O391:Q391)</f>
        <v/>
      </c>
      <c r="I391" s="4" t="str">
        <f aca="false">_xlfn.TEXTJOIN(CHAR(10),1, Prowler!R391:W391)</f>
        <v/>
      </c>
      <c r="J391" s="1" t="n">
        <f aca="false">IF(Prowler!K391="critical",10, IF(Prowler!K391="high",7, IF(Prowler!K391="medium",5, 1)))</f>
        <v>1</v>
      </c>
      <c r="M391" s="3" t="n">
        <f aca="false">Prowler!A391</f>
        <v>0</v>
      </c>
      <c r="O391" s="4" t="str">
        <f aca="false">IF(Prowler!N391="", "", _xlfn.CONCAT("[{""key"":""",SUBSTITUTE(SUBSTITUTE(Prowler!N391,"=",""",""value"":""")," | ","""},{""key"":"""),"""}]"))</f>
        <v/>
      </c>
    </row>
    <row r="392" customFormat="false" ht="90.7" hidden="false" customHeight="false" outlineLevel="0" collapsed="false">
      <c r="B392" s="1" t="str">
        <f aca="false">UPPER(Prowler!C392)</f>
        <v/>
      </c>
      <c r="C392" s="1" t="str">
        <f aca="false">IF(Prowler!AL392&lt;&gt;"",Prowler!AL392, _xlfn.CONCAT("arn:aws:ec2:",F392,":",Prowler!AD392,":instance/",Prowler!AK392))</f>
        <v>arn:aws:ec2:::instance/</v>
      </c>
      <c r="F392" s="1" t="n">
        <f aca="false">Prowler!AJ392</f>
        <v>0</v>
      </c>
      <c r="G392" s="1" t="n">
        <f aca="false">Prowler!E392</f>
        <v>0</v>
      </c>
      <c r="H392" s="4" t="str">
        <f aca="false">_xlfn.TEXTJOIN(CHAR(10),1, Prowler!O392:Q392)</f>
        <v/>
      </c>
      <c r="I392" s="4" t="str">
        <f aca="false">_xlfn.TEXTJOIN(CHAR(10),1, Prowler!R392:W392)</f>
        <v/>
      </c>
      <c r="J392" s="1" t="n">
        <f aca="false">IF(Prowler!K392="critical",10, IF(Prowler!K392="high",7, IF(Prowler!K392="medium",5, 1)))</f>
        <v>1</v>
      </c>
      <c r="M392" s="3" t="n">
        <f aca="false">Prowler!A392</f>
        <v>0</v>
      </c>
      <c r="O392" s="4" t="str">
        <f aca="false">IF(Prowler!N392="", "", _xlfn.CONCAT("[{""key"":""",SUBSTITUTE(SUBSTITUTE(Prowler!N392,"=",""",""value"":""")," | ","""},{""key"":"""),"""}]"))</f>
        <v/>
      </c>
    </row>
    <row r="393" customFormat="false" ht="90.7" hidden="false" customHeight="false" outlineLevel="0" collapsed="false">
      <c r="B393" s="1" t="str">
        <f aca="false">UPPER(Prowler!C393)</f>
        <v/>
      </c>
      <c r="C393" s="1" t="str">
        <f aca="false">IF(Prowler!AL393&lt;&gt;"",Prowler!AL393, _xlfn.CONCAT("arn:aws:ec2:",F393,":",Prowler!AD393,":instance/",Prowler!AK393))</f>
        <v>arn:aws:ec2:::instance/</v>
      </c>
      <c r="F393" s="1" t="n">
        <f aca="false">Prowler!AJ393</f>
        <v>0</v>
      </c>
      <c r="G393" s="1" t="n">
        <f aca="false">Prowler!E393</f>
        <v>0</v>
      </c>
      <c r="H393" s="4" t="str">
        <f aca="false">_xlfn.TEXTJOIN(CHAR(10),1, Prowler!O393:Q393)</f>
        <v/>
      </c>
      <c r="I393" s="4" t="str">
        <f aca="false">_xlfn.TEXTJOIN(CHAR(10),1, Prowler!R393:W393)</f>
        <v/>
      </c>
      <c r="J393" s="1" t="n">
        <f aca="false">IF(Prowler!K393="critical",10, IF(Prowler!K393="high",7, IF(Prowler!K393="medium",5, 1)))</f>
        <v>1</v>
      </c>
      <c r="M393" s="3" t="n">
        <f aca="false">Prowler!A393</f>
        <v>0</v>
      </c>
      <c r="O393" s="4" t="str">
        <f aca="false">IF(Prowler!N393="", "", _xlfn.CONCAT("[{""key"":""",SUBSTITUTE(SUBSTITUTE(Prowler!N393,"=",""",""value"":""")," | ","""},{""key"":"""),"""}]"))</f>
        <v/>
      </c>
    </row>
    <row r="394" customFormat="false" ht="90.7" hidden="false" customHeight="false" outlineLevel="0" collapsed="false">
      <c r="B394" s="1" t="str">
        <f aca="false">UPPER(Prowler!C394)</f>
        <v/>
      </c>
      <c r="C394" s="1" t="str">
        <f aca="false">IF(Prowler!AL394&lt;&gt;"",Prowler!AL394, _xlfn.CONCAT("arn:aws:ec2:",F394,":",Prowler!AD394,":instance/",Prowler!AK394))</f>
        <v>arn:aws:ec2:::instance/</v>
      </c>
      <c r="F394" s="1" t="n">
        <f aca="false">Prowler!AJ394</f>
        <v>0</v>
      </c>
      <c r="G394" s="1" t="n">
        <f aca="false">Prowler!E394</f>
        <v>0</v>
      </c>
      <c r="H394" s="4" t="str">
        <f aca="false">_xlfn.TEXTJOIN(CHAR(10),1, Prowler!O394:Q394)</f>
        <v/>
      </c>
      <c r="I394" s="4" t="str">
        <f aca="false">_xlfn.TEXTJOIN(CHAR(10),1, Prowler!R394:W394)</f>
        <v/>
      </c>
      <c r="J394" s="1" t="n">
        <f aca="false">IF(Prowler!K394="critical",10, IF(Prowler!K394="high",7, IF(Prowler!K394="medium",5, 1)))</f>
        <v>1</v>
      </c>
      <c r="M394" s="3" t="n">
        <f aca="false">Prowler!A394</f>
        <v>0</v>
      </c>
      <c r="O394" s="4" t="str">
        <f aca="false">IF(Prowler!N394="", "", _xlfn.CONCAT("[{""key"":""",SUBSTITUTE(SUBSTITUTE(Prowler!N394,"=",""",""value"":""")," | ","""},{""key"":"""),"""}]"))</f>
        <v/>
      </c>
    </row>
    <row r="395" customFormat="false" ht="90.7" hidden="false" customHeight="false" outlineLevel="0" collapsed="false">
      <c r="B395" s="1" t="str">
        <f aca="false">UPPER(Prowler!C395)</f>
        <v/>
      </c>
      <c r="C395" s="1" t="str">
        <f aca="false">IF(Prowler!AL395&lt;&gt;"",Prowler!AL395, _xlfn.CONCAT("arn:aws:ec2:",F395,":",Prowler!AD395,":instance/",Prowler!AK395))</f>
        <v>arn:aws:ec2:::instance/</v>
      </c>
      <c r="F395" s="1" t="n">
        <f aca="false">Prowler!AJ395</f>
        <v>0</v>
      </c>
      <c r="G395" s="1" t="n">
        <f aca="false">Prowler!E395</f>
        <v>0</v>
      </c>
      <c r="H395" s="4" t="str">
        <f aca="false">_xlfn.TEXTJOIN(CHAR(10),1, Prowler!O395:Q395)</f>
        <v/>
      </c>
      <c r="I395" s="4" t="str">
        <f aca="false">_xlfn.TEXTJOIN(CHAR(10),1, Prowler!R395:W395)</f>
        <v/>
      </c>
      <c r="J395" s="1" t="n">
        <f aca="false">IF(Prowler!K395="critical",10, IF(Prowler!K395="high",7, IF(Prowler!K395="medium",5, 1)))</f>
        <v>1</v>
      </c>
      <c r="M395" s="3" t="n">
        <f aca="false">Prowler!A395</f>
        <v>0</v>
      </c>
      <c r="O395" s="4" t="str">
        <f aca="false">IF(Prowler!N395="", "", _xlfn.CONCAT("[{""key"":""",SUBSTITUTE(SUBSTITUTE(Prowler!N395,"=",""",""value"":""")," | ","""},{""key"":"""),"""}]"))</f>
        <v/>
      </c>
    </row>
    <row r="396" customFormat="false" ht="90.7" hidden="false" customHeight="false" outlineLevel="0" collapsed="false">
      <c r="B396" s="1" t="str">
        <f aca="false">UPPER(Prowler!C396)</f>
        <v/>
      </c>
      <c r="C396" s="1" t="str">
        <f aca="false">IF(Prowler!AL396&lt;&gt;"",Prowler!AL396, _xlfn.CONCAT("arn:aws:ec2:",F396,":",Prowler!AD396,":instance/",Prowler!AK396))</f>
        <v>arn:aws:ec2:::instance/</v>
      </c>
      <c r="F396" s="1" t="n">
        <f aca="false">Prowler!AJ396</f>
        <v>0</v>
      </c>
      <c r="G396" s="1" t="n">
        <f aca="false">Prowler!E396</f>
        <v>0</v>
      </c>
      <c r="H396" s="4" t="str">
        <f aca="false">_xlfn.TEXTJOIN(CHAR(10),1, Prowler!O396:Q396)</f>
        <v/>
      </c>
      <c r="I396" s="4" t="str">
        <f aca="false">_xlfn.TEXTJOIN(CHAR(10),1, Prowler!R396:W396)</f>
        <v/>
      </c>
      <c r="J396" s="1" t="n">
        <f aca="false">IF(Prowler!K396="critical",10, IF(Prowler!K396="high",7, IF(Prowler!K396="medium",5, 1)))</f>
        <v>1</v>
      </c>
      <c r="M396" s="3" t="n">
        <f aca="false">Prowler!A396</f>
        <v>0</v>
      </c>
      <c r="O396" s="4" t="str">
        <f aca="false">IF(Prowler!N396="", "", _xlfn.CONCAT("[{""key"":""",SUBSTITUTE(SUBSTITUTE(Prowler!N396,"=",""",""value"":""")," | ","""},{""key"":"""),"""}]"))</f>
        <v/>
      </c>
    </row>
    <row r="397" customFormat="false" ht="90.7" hidden="false" customHeight="false" outlineLevel="0" collapsed="false">
      <c r="B397" s="1" t="str">
        <f aca="false">UPPER(Prowler!C397)</f>
        <v/>
      </c>
      <c r="C397" s="1" t="str">
        <f aca="false">IF(Prowler!AL397&lt;&gt;"",Prowler!AL397, _xlfn.CONCAT("arn:aws:ec2:",F397,":",Prowler!AD397,":instance/",Prowler!AK397))</f>
        <v>arn:aws:ec2:::instance/</v>
      </c>
      <c r="F397" s="1" t="n">
        <f aca="false">Prowler!AJ397</f>
        <v>0</v>
      </c>
      <c r="G397" s="1" t="n">
        <f aca="false">Prowler!E397</f>
        <v>0</v>
      </c>
      <c r="H397" s="4" t="str">
        <f aca="false">_xlfn.TEXTJOIN(CHAR(10),1, Prowler!O397:Q397)</f>
        <v/>
      </c>
      <c r="I397" s="4" t="str">
        <f aca="false">_xlfn.TEXTJOIN(CHAR(10),1, Prowler!R397:W397)</f>
        <v/>
      </c>
      <c r="J397" s="1" t="n">
        <f aca="false">IF(Prowler!K397="critical",10, IF(Prowler!K397="high",7, IF(Prowler!K397="medium",5, 1)))</f>
        <v>1</v>
      </c>
      <c r="M397" s="3" t="n">
        <f aca="false">Prowler!A397</f>
        <v>0</v>
      </c>
      <c r="O397" s="4" t="str">
        <f aca="false">IF(Prowler!N397="", "", _xlfn.CONCAT("[{""key"":""",SUBSTITUTE(SUBSTITUTE(Prowler!N397,"=",""",""value"":""")," | ","""},{""key"":"""),"""}]"))</f>
        <v/>
      </c>
    </row>
    <row r="398" customFormat="false" ht="90.7" hidden="false" customHeight="false" outlineLevel="0" collapsed="false">
      <c r="B398" s="1" t="str">
        <f aca="false">UPPER(Prowler!C398)</f>
        <v/>
      </c>
      <c r="C398" s="1" t="str">
        <f aca="false">IF(Prowler!AL398&lt;&gt;"",Prowler!AL398, _xlfn.CONCAT("arn:aws:ec2:",F398,":",Prowler!AD398,":instance/",Prowler!AK398))</f>
        <v>arn:aws:ec2:::instance/</v>
      </c>
      <c r="F398" s="1" t="n">
        <f aca="false">Prowler!AJ398</f>
        <v>0</v>
      </c>
      <c r="G398" s="1" t="n">
        <f aca="false">Prowler!E398</f>
        <v>0</v>
      </c>
      <c r="H398" s="4" t="str">
        <f aca="false">_xlfn.TEXTJOIN(CHAR(10),1, Prowler!O398:Q398)</f>
        <v/>
      </c>
      <c r="I398" s="4" t="str">
        <f aca="false">_xlfn.TEXTJOIN(CHAR(10),1, Prowler!R398:W398)</f>
        <v/>
      </c>
      <c r="J398" s="1" t="n">
        <f aca="false">IF(Prowler!K398="critical",10, IF(Prowler!K398="high",7, IF(Prowler!K398="medium",5, 1)))</f>
        <v>1</v>
      </c>
      <c r="M398" s="3" t="n">
        <f aca="false">Prowler!A398</f>
        <v>0</v>
      </c>
      <c r="O398" s="4" t="str">
        <f aca="false">IF(Prowler!N398="", "", _xlfn.CONCAT("[{""key"":""",SUBSTITUTE(SUBSTITUTE(Prowler!N398,"=",""",""value"":""")," | ","""},{""key"":"""),"""}]"))</f>
        <v/>
      </c>
    </row>
    <row r="399" customFormat="false" ht="90.7" hidden="false" customHeight="false" outlineLevel="0" collapsed="false">
      <c r="B399" s="1" t="str">
        <f aca="false">UPPER(Prowler!C399)</f>
        <v/>
      </c>
      <c r="C399" s="1" t="str">
        <f aca="false">IF(Prowler!AL399&lt;&gt;"",Prowler!AL399, _xlfn.CONCAT("arn:aws:ec2:",F399,":",Prowler!AD399,":instance/",Prowler!AK399))</f>
        <v>arn:aws:ec2:::instance/</v>
      </c>
      <c r="F399" s="1" t="n">
        <f aca="false">Prowler!AJ399</f>
        <v>0</v>
      </c>
      <c r="G399" s="1" t="n">
        <f aca="false">Prowler!E399</f>
        <v>0</v>
      </c>
      <c r="H399" s="4" t="str">
        <f aca="false">_xlfn.TEXTJOIN(CHAR(10),1, Prowler!O399:Q399)</f>
        <v/>
      </c>
      <c r="I399" s="4" t="str">
        <f aca="false">_xlfn.TEXTJOIN(CHAR(10),1, Prowler!R399:W399)</f>
        <v/>
      </c>
      <c r="J399" s="1" t="n">
        <f aca="false">IF(Prowler!K399="critical",10, IF(Prowler!K399="high",7, IF(Prowler!K399="medium",5, 1)))</f>
        <v>1</v>
      </c>
      <c r="M399" s="3" t="n">
        <f aca="false">Prowler!A399</f>
        <v>0</v>
      </c>
      <c r="O399" s="4" t="str">
        <f aca="false">IF(Prowler!N399="", "", _xlfn.CONCAT("[{""key"":""",SUBSTITUTE(SUBSTITUTE(Prowler!N399,"=",""",""value"":""")," | ","""},{""key"":"""),"""}]"))</f>
        <v/>
      </c>
    </row>
    <row r="400" customFormat="false" ht="90.7" hidden="false" customHeight="false" outlineLevel="0" collapsed="false">
      <c r="B400" s="1" t="str">
        <f aca="false">UPPER(Prowler!C400)</f>
        <v/>
      </c>
      <c r="C400" s="1" t="str">
        <f aca="false">IF(Prowler!AL400&lt;&gt;"",Prowler!AL400, _xlfn.CONCAT("arn:aws:ec2:",F400,":",Prowler!AD400,":instance/",Prowler!AK400))</f>
        <v>arn:aws:ec2:::instance/</v>
      </c>
      <c r="F400" s="1" t="n">
        <f aca="false">Prowler!AJ400</f>
        <v>0</v>
      </c>
      <c r="G400" s="1" t="n">
        <f aca="false">Prowler!E400</f>
        <v>0</v>
      </c>
      <c r="H400" s="4" t="str">
        <f aca="false">_xlfn.TEXTJOIN(CHAR(10),1, Prowler!O400:Q400)</f>
        <v/>
      </c>
      <c r="I400" s="4" t="str">
        <f aca="false">_xlfn.TEXTJOIN(CHAR(10),1, Prowler!R400:W400)</f>
        <v/>
      </c>
      <c r="J400" s="1" t="n">
        <f aca="false">IF(Prowler!K400="critical",10, IF(Prowler!K400="high",7, IF(Prowler!K400="medium",5, 1)))</f>
        <v>1</v>
      </c>
      <c r="M400" s="3" t="n">
        <f aca="false">Prowler!A400</f>
        <v>0</v>
      </c>
      <c r="O400" s="4" t="str">
        <f aca="false">IF(Prowler!N400="", "", _xlfn.CONCAT("[{""key"":""",SUBSTITUTE(SUBSTITUTE(Prowler!N400,"=",""",""value"":""")," | ","""},{""key"":"""),"""}]"))</f>
        <v/>
      </c>
    </row>
    <row r="401" customFormat="false" ht="90.7" hidden="false" customHeight="false" outlineLevel="0" collapsed="false">
      <c r="B401" s="1" t="str">
        <f aca="false">UPPER(Prowler!C401)</f>
        <v/>
      </c>
      <c r="C401" s="1" t="str">
        <f aca="false">IF(Prowler!AL401&lt;&gt;"",Prowler!AL401, _xlfn.CONCAT("arn:aws:ec2:",F401,":",Prowler!AD401,":instance/",Prowler!AK401))</f>
        <v>arn:aws:ec2:::instance/</v>
      </c>
      <c r="F401" s="1" t="n">
        <f aca="false">Prowler!AJ401</f>
        <v>0</v>
      </c>
      <c r="G401" s="1" t="n">
        <f aca="false">Prowler!E401</f>
        <v>0</v>
      </c>
      <c r="H401" s="4" t="str">
        <f aca="false">_xlfn.TEXTJOIN(CHAR(10),1, Prowler!O401:Q401)</f>
        <v/>
      </c>
      <c r="I401" s="4" t="str">
        <f aca="false">_xlfn.TEXTJOIN(CHAR(10),1, Prowler!R401:W401)</f>
        <v/>
      </c>
      <c r="J401" s="1" t="n">
        <f aca="false">IF(Prowler!K401="critical",10, IF(Prowler!K401="high",7, IF(Prowler!K401="medium",5, 1)))</f>
        <v>1</v>
      </c>
      <c r="M401" s="3" t="n">
        <f aca="false">Prowler!A401</f>
        <v>0</v>
      </c>
      <c r="O401" s="4" t="str">
        <f aca="false">IF(Prowler!N401="", "", _xlfn.CONCAT("[{""key"":""",SUBSTITUTE(SUBSTITUTE(Prowler!N401,"=",""",""value"":""")," | ","""},{""key"":"""),"""}]"))</f>
        <v/>
      </c>
    </row>
    <row r="402" customFormat="false" ht="90.7" hidden="false" customHeight="false" outlineLevel="0" collapsed="false">
      <c r="B402" s="1" t="str">
        <f aca="false">UPPER(Prowler!C402)</f>
        <v/>
      </c>
      <c r="C402" s="1" t="str">
        <f aca="false">IF(Prowler!AL402&lt;&gt;"",Prowler!AL402, _xlfn.CONCAT("arn:aws:ec2:",F402,":",Prowler!AD402,":instance/",Prowler!AK402))</f>
        <v>arn:aws:ec2:::instance/</v>
      </c>
      <c r="F402" s="1" t="n">
        <f aca="false">Prowler!AJ402</f>
        <v>0</v>
      </c>
      <c r="G402" s="1" t="n">
        <f aca="false">Prowler!E402</f>
        <v>0</v>
      </c>
      <c r="H402" s="4" t="str">
        <f aca="false">_xlfn.TEXTJOIN(CHAR(10),1, Prowler!O402:Q402)</f>
        <v/>
      </c>
      <c r="I402" s="4" t="str">
        <f aca="false">_xlfn.TEXTJOIN(CHAR(10),1, Prowler!R402:W402)</f>
        <v/>
      </c>
      <c r="J402" s="1" t="n">
        <f aca="false">IF(Prowler!K402="critical",10, IF(Prowler!K402="high",7, IF(Prowler!K402="medium",5, 1)))</f>
        <v>1</v>
      </c>
      <c r="M402" s="3" t="n">
        <f aca="false">Prowler!A402</f>
        <v>0</v>
      </c>
      <c r="O402" s="4" t="str">
        <f aca="false">IF(Prowler!N402="", "", _xlfn.CONCAT("[{""key"":""",SUBSTITUTE(SUBSTITUTE(Prowler!N402,"=",""",""value"":""")," | ","""},{""key"":"""),"""}]"))</f>
        <v/>
      </c>
    </row>
    <row r="403" customFormat="false" ht="90.7" hidden="false" customHeight="false" outlineLevel="0" collapsed="false">
      <c r="B403" s="1" t="str">
        <f aca="false">UPPER(Prowler!C403)</f>
        <v/>
      </c>
      <c r="C403" s="1" t="str">
        <f aca="false">IF(Prowler!AL403&lt;&gt;"",Prowler!AL403, _xlfn.CONCAT("arn:aws:ec2:",F403,":",Prowler!AD403,":instance/",Prowler!AK403))</f>
        <v>arn:aws:ec2:::instance/</v>
      </c>
      <c r="F403" s="1" t="n">
        <f aca="false">Prowler!AJ403</f>
        <v>0</v>
      </c>
      <c r="G403" s="1" t="n">
        <f aca="false">Prowler!E403</f>
        <v>0</v>
      </c>
      <c r="H403" s="4" t="str">
        <f aca="false">_xlfn.TEXTJOIN(CHAR(10),1, Prowler!O403:Q403)</f>
        <v/>
      </c>
      <c r="I403" s="4" t="str">
        <f aca="false">_xlfn.TEXTJOIN(CHAR(10),1, Prowler!R403:W403)</f>
        <v/>
      </c>
      <c r="J403" s="1" t="n">
        <f aca="false">IF(Prowler!K403="critical",10, IF(Prowler!K403="high",7, IF(Prowler!K403="medium",5, 1)))</f>
        <v>1</v>
      </c>
      <c r="M403" s="3" t="n">
        <f aca="false">Prowler!A403</f>
        <v>0</v>
      </c>
      <c r="O403" s="4" t="str">
        <f aca="false">IF(Prowler!N403="", "", _xlfn.CONCAT("[{""key"":""",SUBSTITUTE(SUBSTITUTE(Prowler!N403,"=",""",""value"":""")," | ","""},{""key"":"""),"""}]"))</f>
        <v/>
      </c>
    </row>
    <row r="404" customFormat="false" ht="90.7" hidden="false" customHeight="false" outlineLevel="0" collapsed="false">
      <c r="B404" s="1" t="str">
        <f aca="false">UPPER(Prowler!C404)</f>
        <v/>
      </c>
      <c r="C404" s="1" t="str">
        <f aca="false">IF(Prowler!AL404&lt;&gt;"",Prowler!AL404, _xlfn.CONCAT("arn:aws:ec2:",F404,":",Prowler!AD404,":instance/",Prowler!AK404))</f>
        <v>arn:aws:ec2:::instance/</v>
      </c>
      <c r="F404" s="1" t="n">
        <f aca="false">Prowler!AJ404</f>
        <v>0</v>
      </c>
      <c r="G404" s="1" t="n">
        <f aca="false">Prowler!E404</f>
        <v>0</v>
      </c>
      <c r="H404" s="4" t="str">
        <f aca="false">_xlfn.TEXTJOIN(CHAR(10),1, Prowler!O404:Q404)</f>
        <v/>
      </c>
      <c r="I404" s="4" t="str">
        <f aca="false">_xlfn.TEXTJOIN(CHAR(10),1, Prowler!R404:W404)</f>
        <v/>
      </c>
      <c r="J404" s="1" t="n">
        <f aca="false">IF(Prowler!K404="critical",10, IF(Prowler!K404="high",7, IF(Prowler!K404="medium",5, 1)))</f>
        <v>1</v>
      </c>
      <c r="M404" s="3" t="n">
        <f aca="false">Prowler!A404</f>
        <v>0</v>
      </c>
      <c r="O404" s="4" t="str">
        <f aca="false">IF(Prowler!N404="", "", _xlfn.CONCAT("[{""key"":""",SUBSTITUTE(SUBSTITUTE(Prowler!N404,"=",""",""value"":""")," | ","""},{""key"":"""),"""}]"))</f>
        <v/>
      </c>
    </row>
    <row r="405" customFormat="false" ht="90.7" hidden="false" customHeight="false" outlineLevel="0" collapsed="false">
      <c r="B405" s="1" t="str">
        <f aca="false">UPPER(Prowler!C405)</f>
        <v/>
      </c>
      <c r="C405" s="1" t="str">
        <f aca="false">IF(Prowler!AL405&lt;&gt;"",Prowler!AL405, _xlfn.CONCAT("arn:aws:ec2:",F405,":",Prowler!AD405,":instance/",Prowler!AK405))</f>
        <v>arn:aws:ec2:::instance/</v>
      </c>
      <c r="F405" s="1" t="n">
        <f aca="false">Prowler!AJ405</f>
        <v>0</v>
      </c>
      <c r="G405" s="1" t="n">
        <f aca="false">Prowler!E405</f>
        <v>0</v>
      </c>
      <c r="H405" s="4" t="str">
        <f aca="false">_xlfn.TEXTJOIN(CHAR(10),1, Prowler!O405:Q405)</f>
        <v/>
      </c>
      <c r="I405" s="4" t="str">
        <f aca="false">_xlfn.TEXTJOIN(CHAR(10),1, Prowler!R405:W405)</f>
        <v/>
      </c>
      <c r="J405" s="1" t="n">
        <f aca="false">IF(Prowler!K405="critical",10, IF(Prowler!K405="high",7, IF(Prowler!K405="medium",5, 1)))</f>
        <v>1</v>
      </c>
      <c r="M405" s="3" t="n">
        <f aca="false">Prowler!A405</f>
        <v>0</v>
      </c>
      <c r="O405" s="4" t="str">
        <f aca="false">IF(Prowler!N405="", "", _xlfn.CONCAT("[{""key"":""",SUBSTITUTE(SUBSTITUTE(Prowler!N405,"=",""",""value"":""")," | ","""},{""key"":"""),"""}]"))</f>
        <v/>
      </c>
    </row>
    <row r="406" customFormat="false" ht="157.85" hidden="false" customHeight="false" outlineLevel="0" collapsed="false">
      <c r="B406" s="1" t="str">
        <f aca="false">UPPER(Prowler!C406)</f>
        <v/>
      </c>
      <c r="C406" s="1" t="str">
        <f aca="false">IF(Prowler!AL406&lt;&gt;"",Prowler!AL406, _xlfn.CONCAT("arn:aws:ec2:",F406,":",Prowler!AD406,":instance/",Prowler!AK406))</f>
        <v>arn:aws:ec2:::instance/</v>
      </c>
      <c r="F406" s="1" t="n">
        <f aca="false">Prowler!AJ406</f>
        <v>0</v>
      </c>
      <c r="G406" s="1" t="n">
        <f aca="false">Prowler!E406</f>
        <v>0</v>
      </c>
      <c r="H406" s="4" t="str">
        <f aca="false">_xlfn.TEXTJOIN(CHAR(10),1, Prowler!O406:Q406)</f>
        <v/>
      </c>
      <c r="I406" s="4" t="str">
        <f aca="false">_xlfn.TEXTJOIN(CHAR(10),1, Prowler!R406:W406)</f>
        <v/>
      </c>
      <c r="J406" s="1" t="n">
        <f aca="false">IF(Prowler!K406="critical",10, IF(Prowler!K406="high",7, IF(Prowler!K406="medium",5, 1)))</f>
        <v>1</v>
      </c>
      <c r="M406" s="3" t="n">
        <f aca="false">Prowler!A406</f>
        <v>0</v>
      </c>
      <c r="O406" s="4" t="str">
        <f aca="false">IF(Prowler!N406="", "", _xlfn.CONCAT("[{""key"":""",SUBSTITUTE(SUBSTITUTE(Prowler!N406,"=",""",""value"":""")," | ","""},{""key"":"""),"""}]"))</f>
        <v/>
      </c>
    </row>
    <row r="407" customFormat="false" ht="169.3" hidden="false" customHeight="false" outlineLevel="0" collapsed="false">
      <c r="B407" s="1" t="str">
        <f aca="false">UPPER(Prowler!C407)</f>
        <v/>
      </c>
      <c r="C407" s="1" t="str">
        <f aca="false">IF(Prowler!AL407&lt;&gt;"",Prowler!AL407, _xlfn.CONCAT("arn:aws:ec2:",F407,":",Prowler!AD407,":instance/",Prowler!AK407))</f>
        <v>arn:aws:ec2:::instance/</v>
      </c>
      <c r="F407" s="1" t="n">
        <f aca="false">Prowler!AJ407</f>
        <v>0</v>
      </c>
      <c r="G407" s="1" t="n">
        <f aca="false">Prowler!E407</f>
        <v>0</v>
      </c>
      <c r="H407" s="4" t="str">
        <f aca="false">_xlfn.TEXTJOIN(CHAR(10),1, Prowler!O407:Q407)</f>
        <v/>
      </c>
      <c r="I407" s="4" t="str">
        <f aca="false">_xlfn.TEXTJOIN(CHAR(10),1, Prowler!R407:W407)</f>
        <v/>
      </c>
      <c r="J407" s="1" t="n">
        <f aca="false">IF(Prowler!K407="critical",10, IF(Prowler!K407="high",7, IF(Prowler!K407="medium",5, 1)))</f>
        <v>1</v>
      </c>
      <c r="M407" s="3" t="n">
        <f aca="false">Prowler!A407</f>
        <v>0</v>
      </c>
      <c r="O407" s="4" t="str">
        <f aca="false">IF(Prowler!N407="", "", _xlfn.CONCAT("[{""key"":""",SUBSTITUTE(SUBSTITUTE(Prowler!N407,"=",""",""value"":""")," | ","""},{""key"":"""),"""}]"))</f>
        <v/>
      </c>
    </row>
    <row r="408" customFormat="false" ht="90.7" hidden="false" customHeight="false" outlineLevel="0" collapsed="false">
      <c r="B408" s="1" t="str">
        <f aca="false">UPPER(Prowler!C408)</f>
        <v/>
      </c>
      <c r="C408" s="1" t="str">
        <f aca="false">IF(Prowler!AL408&lt;&gt;"",Prowler!AL408, _xlfn.CONCAT("arn:aws:ec2:",F408,":",Prowler!AD408,":instance/",Prowler!AK408))</f>
        <v>arn:aws:ec2:::instance/</v>
      </c>
      <c r="F408" s="1" t="n">
        <f aca="false">Prowler!AJ408</f>
        <v>0</v>
      </c>
      <c r="G408" s="1" t="n">
        <f aca="false">Prowler!E408</f>
        <v>0</v>
      </c>
      <c r="H408" s="4" t="str">
        <f aca="false">_xlfn.TEXTJOIN(CHAR(10),1, Prowler!O408:Q408)</f>
        <v/>
      </c>
      <c r="I408" s="4" t="str">
        <f aca="false">_xlfn.TEXTJOIN(CHAR(10),1, Prowler!R408:W408)</f>
        <v/>
      </c>
      <c r="J408" s="1" t="n">
        <f aca="false">IF(Prowler!K408="critical",10, IF(Prowler!K408="high",7, IF(Prowler!K408="medium",5, 1)))</f>
        <v>1</v>
      </c>
      <c r="M408" s="3" t="n">
        <f aca="false">Prowler!A408</f>
        <v>0</v>
      </c>
      <c r="O408" s="4" t="str">
        <f aca="false">IF(Prowler!N408="", "", _xlfn.CONCAT("[{""key"":""",SUBSTITUTE(SUBSTITUTE(Prowler!N408,"=",""",""value"":""")," | ","""},{""key"":"""),"""}]"))</f>
        <v/>
      </c>
    </row>
    <row r="409" customFormat="false" ht="90.7" hidden="false" customHeight="false" outlineLevel="0" collapsed="false">
      <c r="B409" s="1" t="str">
        <f aca="false">UPPER(Prowler!C409)</f>
        <v/>
      </c>
      <c r="C409" s="1" t="str">
        <f aca="false">IF(Prowler!AL409&lt;&gt;"",Prowler!AL409, _xlfn.CONCAT("arn:aws:ec2:",F409,":",Prowler!AD409,":instance/",Prowler!AK409))</f>
        <v>arn:aws:ec2:::instance/</v>
      </c>
      <c r="F409" s="1" t="n">
        <f aca="false">Prowler!AJ409</f>
        <v>0</v>
      </c>
      <c r="G409" s="1" t="n">
        <f aca="false">Prowler!E409</f>
        <v>0</v>
      </c>
      <c r="H409" s="4" t="str">
        <f aca="false">_xlfn.TEXTJOIN(CHAR(10),1, Prowler!O409:Q409)</f>
        <v/>
      </c>
      <c r="I409" s="4" t="str">
        <f aca="false">_xlfn.TEXTJOIN(CHAR(10),1, Prowler!R409:W409)</f>
        <v/>
      </c>
      <c r="J409" s="1" t="n">
        <f aca="false">IF(Prowler!K409="critical",10, IF(Prowler!K409="high",7, IF(Prowler!K409="medium",5, 1)))</f>
        <v>1</v>
      </c>
      <c r="M409" s="3" t="n">
        <f aca="false">Prowler!A409</f>
        <v>0</v>
      </c>
      <c r="O409" s="4" t="str">
        <f aca="false">IF(Prowler!N409="", "", _xlfn.CONCAT("[{""key"":""",SUBSTITUTE(SUBSTITUTE(Prowler!N409,"=",""",""value"":""")," | ","""},{""key"":"""),"""}]"))</f>
        <v/>
      </c>
    </row>
    <row r="410" customFormat="false" ht="90.7" hidden="false" customHeight="false" outlineLevel="0" collapsed="false">
      <c r="B410" s="1" t="str">
        <f aca="false">UPPER(Prowler!C410)</f>
        <v/>
      </c>
      <c r="C410" s="1" t="str">
        <f aca="false">IF(Prowler!AL410&lt;&gt;"",Prowler!AL410, _xlfn.CONCAT("arn:aws:ec2:",F410,":",Prowler!AD410,":instance/",Prowler!AK410))</f>
        <v>arn:aws:ec2:::instance/</v>
      </c>
      <c r="F410" s="1" t="n">
        <f aca="false">Prowler!AJ410</f>
        <v>0</v>
      </c>
      <c r="G410" s="1" t="n">
        <f aca="false">Prowler!E410</f>
        <v>0</v>
      </c>
      <c r="H410" s="4" t="str">
        <f aca="false">_xlfn.TEXTJOIN(CHAR(10),1, Prowler!O410:Q410)</f>
        <v/>
      </c>
      <c r="I410" s="4" t="str">
        <f aca="false">_xlfn.TEXTJOIN(CHAR(10),1, Prowler!R410:W410)</f>
        <v/>
      </c>
      <c r="J410" s="1" t="n">
        <f aca="false">IF(Prowler!K410="critical",10, IF(Prowler!K410="high",7, IF(Prowler!K410="medium",5, 1)))</f>
        <v>1</v>
      </c>
      <c r="M410" s="3" t="n">
        <f aca="false">Prowler!A410</f>
        <v>0</v>
      </c>
      <c r="O410" s="4" t="str">
        <f aca="false">IF(Prowler!N410="", "", _xlfn.CONCAT("[{""key"":""",SUBSTITUTE(SUBSTITUTE(Prowler!N410,"=",""",""value"":""")," | ","""},{""key"":"""),"""}]"))</f>
        <v/>
      </c>
    </row>
    <row r="411" customFormat="false" ht="79.75" hidden="false" customHeight="false" outlineLevel="0" collapsed="false">
      <c r="B411" s="1" t="str">
        <f aca="false">UPPER(Prowler!C411)</f>
        <v/>
      </c>
      <c r="C411" s="1" t="str">
        <f aca="false">IF(Prowler!AL411&lt;&gt;"",Prowler!AL411, _xlfn.CONCAT("arn:aws:ec2:",F411,":",Prowler!AD411,":instance/",Prowler!AK411))</f>
        <v>arn:aws:ec2:::instance/</v>
      </c>
      <c r="F411" s="1" t="n">
        <f aca="false">Prowler!AJ411</f>
        <v>0</v>
      </c>
      <c r="G411" s="1" t="n">
        <f aca="false">Prowler!E411</f>
        <v>0</v>
      </c>
      <c r="H411" s="4" t="str">
        <f aca="false">_xlfn.TEXTJOIN(CHAR(10),1, Prowler!O411:Q411)</f>
        <v/>
      </c>
      <c r="I411" s="4" t="str">
        <f aca="false">_xlfn.TEXTJOIN(CHAR(10),1, Prowler!R411:W411)</f>
        <v/>
      </c>
      <c r="J411" s="1" t="n">
        <f aca="false">IF(Prowler!K411="critical",10, IF(Prowler!K411="high",7, IF(Prowler!K411="medium",5, 1)))</f>
        <v>1</v>
      </c>
      <c r="M411" s="3" t="n">
        <f aca="false">Prowler!A411</f>
        <v>0</v>
      </c>
      <c r="O411" s="4" t="str">
        <f aca="false">IF(Prowler!N411="", "", _xlfn.CONCAT("[{""key"":""",SUBSTITUTE(SUBSTITUTE(Prowler!N411,"=",""",""value"":""")," | ","""},{""key"":"""),"""}]"))</f>
        <v/>
      </c>
    </row>
    <row r="412" customFormat="false" ht="90.7" hidden="false" customHeight="false" outlineLevel="0" collapsed="false">
      <c r="B412" s="1" t="str">
        <f aca="false">UPPER(Prowler!C412)</f>
        <v/>
      </c>
      <c r="C412" s="1" t="str">
        <f aca="false">IF(Prowler!AL412&lt;&gt;"",Prowler!AL412, _xlfn.CONCAT("arn:aws:ec2:",F412,":",Prowler!AD412,":instance/",Prowler!AK412))</f>
        <v>arn:aws:ec2:::instance/</v>
      </c>
      <c r="F412" s="1" t="n">
        <f aca="false">Prowler!AJ412</f>
        <v>0</v>
      </c>
      <c r="G412" s="1" t="n">
        <f aca="false">Prowler!E412</f>
        <v>0</v>
      </c>
      <c r="H412" s="4" t="str">
        <f aca="false">_xlfn.TEXTJOIN(CHAR(10),1, Prowler!O412:Q412)</f>
        <v/>
      </c>
      <c r="I412" s="4" t="str">
        <f aca="false">_xlfn.TEXTJOIN(CHAR(10),1, Prowler!R412:W412)</f>
        <v/>
      </c>
      <c r="J412" s="1" t="n">
        <f aca="false">IF(Prowler!K412="critical",10, IF(Prowler!K412="high",7, IF(Prowler!K412="medium",5, 1)))</f>
        <v>1</v>
      </c>
      <c r="M412" s="3" t="n">
        <f aca="false">Prowler!A412</f>
        <v>0</v>
      </c>
      <c r="O412" s="4" t="str">
        <f aca="false">IF(Prowler!N412="", "", _xlfn.CONCAT("[{""key"":""",SUBSTITUTE(SUBSTITUTE(Prowler!N412,"=",""",""value"":""")," | ","""},{""key"":"""),"""}]"))</f>
        <v/>
      </c>
    </row>
    <row r="413" customFormat="false" ht="90.7" hidden="false" customHeight="false" outlineLevel="0" collapsed="false">
      <c r="B413" s="1" t="str">
        <f aca="false">UPPER(Prowler!C413)</f>
        <v/>
      </c>
      <c r="C413" s="1" t="str">
        <f aca="false">IF(Prowler!AL413&lt;&gt;"",Prowler!AL413, _xlfn.CONCAT("arn:aws:ec2:",F413,":",Prowler!AD413,":instance/",Prowler!AK413))</f>
        <v>arn:aws:ec2:::instance/</v>
      </c>
      <c r="F413" s="1" t="n">
        <f aca="false">Prowler!AJ413</f>
        <v>0</v>
      </c>
      <c r="G413" s="1" t="n">
        <f aca="false">Prowler!E413</f>
        <v>0</v>
      </c>
      <c r="H413" s="4" t="str">
        <f aca="false">_xlfn.TEXTJOIN(CHAR(10),1, Prowler!O413:Q413)</f>
        <v/>
      </c>
      <c r="I413" s="4" t="str">
        <f aca="false">_xlfn.TEXTJOIN(CHAR(10),1, Prowler!R413:W413)</f>
        <v/>
      </c>
      <c r="J413" s="1" t="n">
        <f aca="false">IF(Prowler!K413="critical",10, IF(Prowler!K413="high",7, IF(Prowler!K413="medium",5, 1)))</f>
        <v>1</v>
      </c>
      <c r="M413" s="3" t="n">
        <f aca="false">Prowler!A413</f>
        <v>0</v>
      </c>
      <c r="O413" s="4" t="str">
        <f aca="false">IF(Prowler!N413="", "", _xlfn.CONCAT("[{""key"":""",SUBSTITUTE(SUBSTITUTE(Prowler!N413,"=",""",""value"":""")," | ","""},{""key"":"""),"""}]"))</f>
        <v/>
      </c>
    </row>
    <row r="414" customFormat="false" ht="90.7" hidden="false" customHeight="false" outlineLevel="0" collapsed="false">
      <c r="B414" s="1" t="str">
        <f aca="false">UPPER(Prowler!C414)</f>
        <v/>
      </c>
      <c r="C414" s="1" t="str">
        <f aca="false">IF(Prowler!AL414&lt;&gt;"",Prowler!AL414, _xlfn.CONCAT("arn:aws:ec2:",F414,":",Prowler!AD414,":instance/",Prowler!AK414))</f>
        <v>arn:aws:ec2:::instance/</v>
      </c>
      <c r="F414" s="1" t="n">
        <f aca="false">Prowler!AJ414</f>
        <v>0</v>
      </c>
      <c r="G414" s="1" t="n">
        <f aca="false">Prowler!E414</f>
        <v>0</v>
      </c>
      <c r="H414" s="4" t="str">
        <f aca="false">_xlfn.TEXTJOIN(CHAR(10),1, Prowler!O414:Q414)</f>
        <v/>
      </c>
      <c r="I414" s="4" t="str">
        <f aca="false">_xlfn.TEXTJOIN(CHAR(10),1, Prowler!R414:W414)</f>
        <v/>
      </c>
      <c r="J414" s="1" t="n">
        <f aca="false">IF(Prowler!K414="critical",10, IF(Prowler!K414="high",7, IF(Prowler!K414="medium",5, 1)))</f>
        <v>1</v>
      </c>
      <c r="M414" s="3" t="n">
        <f aca="false">Prowler!A414</f>
        <v>0</v>
      </c>
      <c r="O414" s="4" t="str">
        <f aca="false">IF(Prowler!N414="", "", _xlfn.CONCAT("[{""key"":""",SUBSTITUTE(SUBSTITUTE(Prowler!N414,"=",""",""value"":""")," | ","""},{""key"":"""),"""}]"))</f>
        <v/>
      </c>
    </row>
    <row r="415" customFormat="false" ht="146.95" hidden="false" customHeight="false" outlineLevel="0" collapsed="false">
      <c r="B415" s="1" t="str">
        <f aca="false">UPPER(Prowler!C415)</f>
        <v/>
      </c>
      <c r="C415" s="1" t="str">
        <f aca="false">IF(Prowler!AL415&lt;&gt;"",Prowler!AL415, _xlfn.CONCAT("arn:aws:ec2:",F415,":",Prowler!AD415,":instance/",Prowler!AK415))</f>
        <v>arn:aws:ec2:::instance/</v>
      </c>
      <c r="F415" s="1" t="n">
        <f aca="false">Prowler!AJ415</f>
        <v>0</v>
      </c>
      <c r="G415" s="1" t="n">
        <f aca="false">Prowler!E415</f>
        <v>0</v>
      </c>
      <c r="H415" s="4" t="str">
        <f aca="false">_xlfn.TEXTJOIN(CHAR(10),1, Prowler!O415:Q415)</f>
        <v/>
      </c>
      <c r="I415" s="4" t="str">
        <f aca="false">_xlfn.TEXTJOIN(CHAR(10),1, Prowler!R415:W415)</f>
        <v/>
      </c>
      <c r="J415" s="1" t="n">
        <f aca="false">IF(Prowler!K415="critical",10, IF(Prowler!K415="high",7, IF(Prowler!K415="medium",5, 1)))</f>
        <v>1</v>
      </c>
      <c r="M415" s="3" t="n">
        <f aca="false">Prowler!A415</f>
        <v>0</v>
      </c>
      <c r="O415" s="4" t="str">
        <f aca="false">IF(Prowler!N415="", "", _xlfn.CONCAT("[{""key"":""",SUBSTITUTE(SUBSTITUTE(Prowler!N415,"=",""",""value"":""")," | ","""},{""key"":"""),"""}]"))</f>
        <v/>
      </c>
    </row>
    <row r="416" customFormat="false" ht="146.95" hidden="false" customHeight="false" outlineLevel="0" collapsed="false">
      <c r="B416" s="1" t="str">
        <f aca="false">UPPER(Prowler!C416)</f>
        <v/>
      </c>
      <c r="C416" s="1" t="str">
        <f aca="false">IF(Prowler!AL416&lt;&gt;"",Prowler!AL416, _xlfn.CONCAT("arn:aws:ec2:",F416,":",Prowler!AD416,":instance/",Prowler!AK416))</f>
        <v>arn:aws:ec2:::instance/</v>
      </c>
      <c r="F416" s="1" t="n">
        <f aca="false">Prowler!AJ416</f>
        <v>0</v>
      </c>
      <c r="G416" s="1" t="n">
        <f aca="false">Prowler!E416</f>
        <v>0</v>
      </c>
      <c r="H416" s="4" t="str">
        <f aca="false">_xlfn.TEXTJOIN(CHAR(10),1, Prowler!O416:Q416)</f>
        <v/>
      </c>
      <c r="I416" s="4" t="str">
        <f aca="false">_xlfn.TEXTJOIN(CHAR(10),1, Prowler!R416:W416)</f>
        <v/>
      </c>
      <c r="J416" s="1" t="n">
        <f aca="false">IF(Prowler!K416="critical",10, IF(Prowler!K416="high",7, IF(Prowler!K416="medium",5, 1)))</f>
        <v>1</v>
      </c>
      <c r="M416" s="3" t="n">
        <f aca="false">Prowler!A416</f>
        <v>0</v>
      </c>
      <c r="O416" s="4" t="str">
        <f aca="false">IF(Prowler!N416="", "", _xlfn.CONCAT("[{""key"":""",SUBSTITUTE(SUBSTITUTE(Prowler!N416,"=",""",""value"":""")," | ","""},{""key"":"""),"""}]"))</f>
        <v/>
      </c>
    </row>
    <row r="417" customFormat="false" ht="146.95" hidden="false" customHeight="false" outlineLevel="0" collapsed="false">
      <c r="B417" s="1" t="str">
        <f aca="false">UPPER(Prowler!C417)</f>
        <v/>
      </c>
      <c r="C417" s="1" t="str">
        <f aca="false">IF(Prowler!AL417&lt;&gt;"",Prowler!AL417, _xlfn.CONCAT("arn:aws:ec2:",F417,":",Prowler!AD417,":instance/",Prowler!AK417))</f>
        <v>arn:aws:ec2:::instance/</v>
      </c>
      <c r="F417" s="1" t="n">
        <f aca="false">Prowler!AJ417</f>
        <v>0</v>
      </c>
      <c r="G417" s="1" t="n">
        <f aca="false">Prowler!E417</f>
        <v>0</v>
      </c>
      <c r="H417" s="4" t="str">
        <f aca="false">_xlfn.TEXTJOIN(CHAR(10),1, Prowler!O417:Q417)</f>
        <v/>
      </c>
      <c r="I417" s="4" t="str">
        <f aca="false">_xlfn.TEXTJOIN(CHAR(10),1, Prowler!R417:W417)</f>
        <v/>
      </c>
      <c r="J417" s="1" t="n">
        <f aca="false">IF(Prowler!K417="critical",10, IF(Prowler!K417="high",7, IF(Prowler!K417="medium",5, 1)))</f>
        <v>1</v>
      </c>
      <c r="M417" s="3" t="n">
        <f aca="false">Prowler!A417</f>
        <v>0</v>
      </c>
      <c r="O417" s="4" t="str">
        <f aca="false">IF(Prowler!N417="", "", _xlfn.CONCAT("[{""key"":""",SUBSTITUTE(SUBSTITUTE(Prowler!N417,"=",""",""value"":""")," | ","""},{""key"":"""),"""}]"))</f>
        <v/>
      </c>
    </row>
    <row r="418" customFormat="false" ht="146.95" hidden="false" customHeight="false" outlineLevel="0" collapsed="false">
      <c r="B418" s="1" t="str">
        <f aca="false">UPPER(Prowler!C418)</f>
        <v/>
      </c>
      <c r="C418" s="1" t="str">
        <f aca="false">IF(Prowler!AL418&lt;&gt;"",Prowler!AL418, _xlfn.CONCAT("arn:aws:ec2:",F418,":",Prowler!AD418,":instance/",Prowler!AK418))</f>
        <v>arn:aws:ec2:::instance/</v>
      </c>
      <c r="F418" s="1" t="n">
        <f aca="false">Prowler!AJ418</f>
        <v>0</v>
      </c>
      <c r="G418" s="1" t="n">
        <f aca="false">Prowler!E418</f>
        <v>0</v>
      </c>
      <c r="H418" s="4" t="str">
        <f aca="false">_xlfn.TEXTJOIN(CHAR(10),1, Prowler!O418:Q418)</f>
        <v/>
      </c>
      <c r="I418" s="4" t="str">
        <f aca="false">_xlfn.TEXTJOIN(CHAR(10),1, Prowler!R418:W418)</f>
        <v/>
      </c>
      <c r="J418" s="1" t="n">
        <f aca="false">IF(Prowler!K418="critical",10, IF(Prowler!K418="high",7, IF(Prowler!K418="medium",5, 1)))</f>
        <v>1</v>
      </c>
      <c r="M418" s="3" t="n">
        <f aca="false">Prowler!A418</f>
        <v>0</v>
      </c>
      <c r="O418" s="4" t="str">
        <f aca="false">IF(Prowler!N418="", "", _xlfn.CONCAT("[{""key"":""",SUBSTITUTE(SUBSTITUTE(Prowler!N418,"=",""",""value"":""")," | ","""},{""key"":"""),"""}]"))</f>
        <v/>
      </c>
    </row>
    <row r="419" customFormat="false" ht="146.95" hidden="false" customHeight="false" outlineLevel="0" collapsed="false">
      <c r="B419" s="1" t="str">
        <f aca="false">UPPER(Prowler!C419)</f>
        <v/>
      </c>
      <c r="C419" s="1" t="str">
        <f aca="false">IF(Prowler!AL419&lt;&gt;"",Prowler!AL419, _xlfn.CONCAT("arn:aws:ec2:",F419,":",Prowler!AD419,":instance/",Prowler!AK419))</f>
        <v>arn:aws:ec2:::instance/</v>
      </c>
      <c r="F419" s="1" t="n">
        <f aca="false">Prowler!AJ419</f>
        <v>0</v>
      </c>
      <c r="G419" s="1" t="n">
        <f aca="false">Prowler!E419</f>
        <v>0</v>
      </c>
      <c r="H419" s="4" t="str">
        <f aca="false">_xlfn.TEXTJOIN(CHAR(10),1, Prowler!O419:Q419)</f>
        <v/>
      </c>
      <c r="I419" s="4" t="str">
        <f aca="false">_xlfn.TEXTJOIN(CHAR(10),1, Prowler!R419:W419)</f>
        <v/>
      </c>
      <c r="J419" s="1" t="n">
        <f aca="false">IF(Prowler!K419="critical",10, IF(Prowler!K419="high",7, IF(Prowler!K419="medium",5, 1)))</f>
        <v>1</v>
      </c>
      <c r="M419" s="3" t="n">
        <f aca="false">Prowler!A419</f>
        <v>0</v>
      </c>
      <c r="O419" s="4" t="str">
        <f aca="false">IF(Prowler!N419="", "", _xlfn.CONCAT("[{""key"":""",SUBSTITUTE(SUBSTITUTE(Prowler!N419,"=",""",""value"":""")," | ","""},{""key"":"""),"""}]"))</f>
        <v/>
      </c>
    </row>
    <row r="420" customFormat="false" ht="146.95" hidden="false" customHeight="false" outlineLevel="0" collapsed="false">
      <c r="B420" s="1" t="str">
        <f aca="false">UPPER(Prowler!C420)</f>
        <v/>
      </c>
      <c r="C420" s="1" t="str">
        <f aca="false">IF(Prowler!AL420&lt;&gt;"",Prowler!AL420, _xlfn.CONCAT("arn:aws:ec2:",F420,":",Prowler!AD420,":instance/",Prowler!AK420))</f>
        <v>arn:aws:ec2:::instance/</v>
      </c>
      <c r="F420" s="1" t="n">
        <f aca="false">Prowler!AJ420</f>
        <v>0</v>
      </c>
      <c r="G420" s="1" t="n">
        <f aca="false">Prowler!E420</f>
        <v>0</v>
      </c>
      <c r="H420" s="4" t="str">
        <f aca="false">_xlfn.TEXTJOIN(CHAR(10),1, Prowler!O420:Q420)</f>
        <v/>
      </c>
      <c r="I420" s="4" t="str">
        <f aca="false">_xlfn.TEXTJOIN(CHAR(10),1, Prowler!R420:W420)</f>
        <v/>
      </c>
      <c r="J420" s="1" t="n">
        <f aca="false">IF(Prowler!K420="critical",10, IF(Prowler!K420="high",7, IF(Prowler!K420="medium",5, 1)))</f>
        <v>1</v>
      </c>
      <c r="M420" s="3" t="n">
        <f aca="false">Prowler!A420</f>
        <v>0</v>
      </c>
      <c r="O420" s="4" t="str">
        <f aca="false">IF(Prowler!N420="", "", _xlfn.CONCAT("[{""key"":""",SUBSTITUTE(SUBSTITUTE(Prowler!N420,"=",""",""value"":""")," | ","""},{""key"":"""),"""}]"))</f>
        <v/>
      </c>
    </row>
    <row r="421" customFormat="false" ht="146.95" hidden="false" customHeight="false" outlineLevel="0" collapsed="false">
      <c r="B421" s="1" t="str">
        <f aca="false">UPPER(Prowler!C421)</f>
        <v/>
      </c>
      <c r="C421" s="1" t="str">
        <f aca="false">IF(Prowler!AL421&lt;&gt;"",Prowler!AL421, _xlfn.CONCAT("arn:aws:ec2:",F421,":",Prowler!AD421,":instance/",Prowler!AK421))</f>
        <v>arn:aws:ec2:::instance/</v>
      </c>
      <c r="F421" s="1" t="n">
        <f aca="false">Prowler!AJ421</f>
        <v>0</v>
      </c>
      <c r="G421" s="1" t="n">
        <f aca="false">Prowler!E421</f>
        <v>0</v>
      </c>
      <c r="H421" s="4" t="str">
        <f aca="false">_xlfn.TEXTJOIN(CHAR(10),1, Prowler!O421:Q421)</f>
        <v/>
      </c>
      <c r="I421" s="4" t="str">
        <f aca="false">_xlfn.TEXTJOIN(CHAR(10),1, Prowler!R421:W421)</f>
        <v/>
      </c>
      <c r="J421" s="1" t="n">
        <f aca="false">IF(Prowler!K421="critical",10, IF(Prowler!K421="high",7, IF(Prowler!K421="medium",5, 1)))</f>
        <v>1</v>
      </c>
      <c r="M421" s="3" t="n">
        <f aca="false">Prowler!A421</f>
        <v>0</v>
      </c>
      <c r="O421" s="4" t="str">
        <f aca="false">IF(Prowler!N421="", "", _xlfn.CONCAT("[{""key"":""",SUBSTITUTE(SUBSTITUTE(Prowler!N421,"=",""",""value"":""")," | ","""},{""key"":"""),"""}]"))</f>
        <v/>
      </c>
    </row>
    <row r="422" customFormat="false" ht="146.95" hidden="false" customHeight="false" outlineLevel="0" collapsed="false">
      <c r="B422" s="1" t="str">
        <f aca="false">UPPER(Prowler!C422)</f>
        <v/>
      </c>
      <c r="C422" s="1" t="str">
        <f aca="false">IF(Prowler!AL422&lt;&gt;"",Prowler!AL422, _xlfn.CONCAT("arn:aws:ec2:",F422,":",Prowler!AD422,":instance/",Prowler!AK422))</f>
        <v>arn:aws:ec2:::instance/</v>
      </c>
      <c r="F422" s="1" t="n">
        <f aca="false">Prowler!AJ422</f>
        <v>0</v>
      </c>
      <c r="G422" s="1" t="n">
        <f aca="false">Prowler!E422</f>
        <v>0</v>
      </c>
      <c r="H422" s="4" t="str">
        <f aca="false">_xlfn.TEXTJOIN(CHAR(10),1, Prowler!O422:Q422)</f>
        <v/>
      </c>
      <c r="I422" s="4" t="str">
        <f aca="false">_xlfn.TEXTJOIN(CHAR(10),1, Prowler!R422:W422)</f>
        <v/>
      </c>
      <c r="J422" s="1" t="n">
        <f aca="false">IF(Prowler!K422="critical",10, IF(Prowler!K422="high",7, IF(Prowler!K422="medium",5, 1)))</f>
        <v>1</v>
      </c>
      <c r="M422" s="3" t="n">
        <f aca="false">Prowler!A422</f>
        <v>0</v>
      </c>
      <c r="O422" s="4" t="str">
        <f aca="false">IF(Prowler!N422="", "", _xlfn.CONCAT("[{""key"":""",SUBSTITUTE(SUBSTITUTE(Prowler!N422,"=",""",""value"":""")," | ","""},{""key"":"""),"""}]"))</f>
        <v/>
      </c>
    </row>
    <row r="423" customFormat="false" ht="146.95" hidden="false" customHeight="false" outlineLevel="0" collapsed="false">
      <c r="B423" s="1" t="str">
        <f aca="false">UPPER(Prowler!C423)</f>
        <v/>
      </c>
      <c r="C423" s="1" t="str">
        <f aca="false">IF(Prowler!AL423&lt;&gt;"",Prowler!AL423, _xlfn.CONCAT("arn:aws:ec2:",F423,":",Prowler!AD423,":instance/",Prowler!AK423))</f>
        <v>arn:aws:ec2:::instance/</v>
      </c>
      <c r="F423" s="1" t="n">
        <f aca="false">Prowler!AJ423</f>
        <v>0</v>
      </c>
      <c r="G423" s="1" t="n">
        <f aca="false">Prowler!E423</f>
        <v>0</v>
      </c>
      <c r="H423" s="4" t="str">
        <f aca="false">_xlfn.TEXTJOIN(CHAR(10),1, Prowler!O423:Q423)</f>
        <v/>
      </c>
      <c r="I423" s="4" t="str">
        <f aca="false">_xlfn.TEXTJOIN(CHAR(10),1, Prowler!R423:W423)</f>
        <v/>
      </c>
      <c r="J423" s="1" t="n">
        <f aca="false">IF(Prowler!K423="critical",10, IF(Prowler!K423="high",7, IF(Prowler!K423="medium",5, 1)))</f>
        <v>1</v>
      </c>
      <c r="M423" s="3" t="n">
        <f aca="false">Prowler!A423</f>
        <v>0</v>
      </c>
      <c r="O423" s="4" t="str">
        <f aca="false">IF(Prowler!N423="", "", _xlfn.CONCAT("[{""key"":""",SUBSTITUTE(SUBSTITUTE(Prowler!N423,"=",""",""value"":""")," | ","""},{""key"":"""),"""}]"))</f>
        <v/>
      </c>
    </row>
    <row r="424" customFormat="false" ht="146.95" hidden="false" customHeight="false" outlineLevel="0" collapsed="false">
      <c r="B424" s="1" t="str">
        <f aca="false">UPPER(Prowler!C424)</f>
        <v/>
      </c>
      <c r="C424" s="1" t="str">
        <f aca="false">IF(Prowler!AL424&lt;&gt;"",Prowler!AL424, _xlfn.CONCAT("arn:aws:ec2:",F424,":",Prowler!AD424,":instance/",Prowler!AK424))</f>
        <v>arn:aws:ec2:::instance/</v>
      </c>
      <c r="F424" s="1" t="n">
        <f aca="false">Prowler!AJ424</f>
        <v>0</v>
      </c>
      <c r="G424" s="1" t="n">
        <f aca="false">Prowler!E424</f>
        <v>0</v>
      </c>
      <c r="H424" s="4" t="str">
        <f aca="false">_xlfn.TEXTJOIN(CHAR(10),1, Prowler!O424:Q424)</f>
        <v/>
      </c>
      <c r="I424" s="4" t="str">
        <f aca="false">_xlfn.TEXTJOIN(CHAR(10),1, Prowler!R424:W424)</f>
        <v/>
      </c>
      <c r="J424" s="1" t="n">
        <f aca="false">IF(Prowler!K424="critical",10, IF(Prowler!K424="high",7, IF(Prowler!K424="medium",5, 1)))</f>
        <v>1</v>
      </c>
      <c r="M424" s="3" t="n">
        <f aca="false">Prowler!A424</f>
        <v>0</v>
      </c>
      <c r="O424" s="4" t="str">
        <f aca="false">IF(Prowler!N424="", "", _xlfn.CONCAT("[{""key"":""",SUBSTITUTE(SUBSTITUTE(Prowler!N424,"=",""",""value"":""")," | ","""},{""key"":"""),"""}]"))</f>
        <v/>
      </c>
    </row>
    <row r="425" customFormat="false" ht="146.95" hidden="false" customHeight="false" outlineLevel="0" collapsed="false">
      <c r="B425" s="1" t="str">
        <f aca="false">UPPER(Prowler!C425)</f>
        <v/>
      </c>
      <c r="C425" s="1" t="str">
        <f aca="false">IF(Prowler!AL425&lt;&gt;"",Prowler!AL425, _xlfn.CONCAT("arn:aws:ec2:",F425,":",Prowler!AD425,":instance/",Prowler!AK425))</f>
        <v>arn:aws:ec2:::instance/</v>
      </c>
      <c r="F425" s="1" t="n">
        <f aca="false">Prowler!AJ425</f>
        <v>0</v>
      </c>
      <c r="G425" s="1" t="n">
        <f aca="false">Prowler!E425</f>
        <v>0</v>
      </c>
      <c r="H425" s="4" t="str">
        <f aca="false">_xlfn.TEXTJOIN(CHAR(10),1, Prowler!O425:Q425)</f>
        <v/>
      </c>
      <c r="I425" s="4" t="str">
        <f aca="false">_xlfn.TEXTJOIN(CHAR(10),1, Prowler!R425:W425)</f>
        <v/>
      </c>
      <c r="J425" s="1" t="n">
        <f aca="false">IF(Prowler!K425="critical",10, IF(Prowler!K425="high",7, IF(Prowler!K425="medium",5, 1)))</f>
        <v>1</v>
      </c>
      <c r="M425" s="3" t="n">
        <f aca="false">Prowler!A425</f>
        <v>0</v>
      </c>
      <c r="O425" s="4" t="str">
        <f aca="false">IF(Prowler!N425="", "", _xlfn.CONCAT("[{""key"":""",SUBSTITUTE(SUBSTITUTE(Prowler!N425,"=",""",""value"":""")," | ","""},{""key"":"""),"""}]"))</f>
        <v/>
      </c>
    </row>
    <row r="426" customFormat="false" ht="146.95" hidden="false" customHeight="false" outlineLevel="0" collapsed="false">
      <c r="B426" s="1" t="str">
        <f aca="false">UPPER(Prowler!C426)</f>
        <v/>
      </c>
      <c r="C426" s="1" t="str">
        <f aca="false">IF(Prowler!AL426&lt;&gt;"",Prowler!AL426, _xlfn.CONCAT("arn:aws:ec2:",F426,":",Prowler!AD426,":instance/",Prowler!AK426))</f>
        <v>arn:aws:ec2:::instance/</v>
      </c>
      <c r="F426" s="1" t="n">
        <f aca="false">Prowler!AJ426</f>
        <v>0</v>
      </c>
      <c r="G426" s="1" t="n">
        <f aca="false">Prowler!E426</f>
        <v>0</v>
      </c>
      <c r="H426" s="4" t="str">
        <f aca="false">_xlfn.TEXTJOIN(CHAR(10),1, Prowler!O426:Q426)</f>
        <v/>
      </c>
      <c r="I426" s="4" t="str">
        <f aca="false">_xlfn.TEXTJOIN(CHAR(10),1, Prowler!R426:W426)</f>
        <v/>
      </c>
      <c r="J426" s="1" t="n">
        <f aca="false">IF(Prowler!K426="critical",10, IF(Prowler!K426="high",7, IF(Prowler!K426="medium",5, 1)))</f>
        <v>1</v>
      </c>
      <c r="M426" s="3" t="n">
        <f aca="false">Prowler!A426</f>
        <v>0</v>
      </c>
      <c r="O426" s="4" t="str">
        <f aca="false">IF(Prowler!N426="", "", _xlfn.CONCAT("[{""key"":""",SUBSTITUTE(SUBSTITUTE(Prowler!N426,"=",""",""value"":""")," | ","""},{""key"":"""),"""}]"))</f>
        <v/>
      </c>
    </row>
    <row r="427" customFormat="false" ht="146.95" hidden="false" customHeight="false" outlineLevel="0" collapsed="false">
      <c r="B427" s="1" t="str">
        <f aca="false">UPPER(Prowler!C427)</f>
        <v/>
      </c>
      <c r="C427" s="1" t="str">
        <f aca="false">IF(Prowler!AL427&lt;&gt;"",Prowler!AL427, _xlfn.CONCAT("arn:aws:ec2:",F427,":",Prowler!AD427,":instance/",Prowler!AK427))</f>
        <v>arn:aws:ec2:::instance/</v>
      </c>
      <c r="F427" s="1" t="n">
        <f aca="false">Prowler!AJ427</f>
        <v>0</v>
      </c>
      <c r="G427" s="1" t="n">
        <f aca="false">Prowler!E427</f>
        <v>0</v>
      </c>
      <c r="H427" s="4" t="str">
        <f aca="false">_xlfn.TEXTJOIN(CHAR(10),1, Prowler!O427:Q427)</f>
        <v/>
      </c>
      <c r="I427" s="4" t="str">
        <f aca="false">_xlfn.TEXTJOIN(CHAR(10),1, Prowler!R427:W427)</f>
        <v/>
      </c>
      <c r="J427" s="1" t="n">
        <f aca="false">IF(Prowler!K427="critical",10, IF(Prowler!K427="high",7, IF(Prowler!K427="medium",5, 1)))</f>
        <v>1</v>
      </c>
      <c r="M427" s="3" t="n">
        <f aca="false">Prowler!A427</f>
        <v>0</v>
      </c>
      <c r="O427" s="4" t="str">
        <f aca="false">IF(Prowler!N427="", "", _xlfn.CONCAT("[{""key"":""",SUBSTITUTE(SUBSTITUTE(Prowler!N427,"=",""",""value"":""")," | ","""},{""key"":"""),"""}]"))</f>
        <v/>
      </c>
    </row>
    <row r="428" customFormat="false" ht="146.95" hidden="false" customHeight="false" outlineLevel="0" collapsed="false">
      <c r="B428" s="1" t="str">
        <f aca="false">UPPER(Prowler!C428)</f>
        <v/>
      </c>
      <c r="C428" s="1" t="str">
        <f aca="false">IF(Prowler!AL428&lt;&gt;"",Prowler!AL428, _xlfn.CONCAT("arn:aws:ec2:",F428,":",Prowler!AD428,":instance/",Prowler!AK428))</f>
        <v>arn:aws:ec2:::instance/</v>
      </c>
      <c r="F428" s="1" t="n">
        <f aca="false">Prowler!AJ428</f>
        <v>0</v>
      </c>
      <c r="G428" s="1" t="n">
        <f aca="false">Prowler!E428</f>
        <v>0</v>
      </c>
      <c r="H428" s="4" t="str">
        <f aca="false">_xlfn.TEXTJOIN(CHAR(10),1, Prowler!O428:Q428)</f>
        <v/>
      </c>
      <c r="I428" s="4" t="str">
        <f aca="false">_xlfn.TEXTJOIN(CHAR(10),1, Prowler!R428:W428)</f>
        <v/>
      </c>
      <c r="J428" s="1" t="n">
        <f aca="false">IF(Prowler!K428="critical",10, IF(Prowler!K428="high",7, IF(Prowler!K428="medium",5, 1)))</f>
        <v>1</v>
      </c>
      <c r="M428" s="3" t="n">
        <f aca="false">Prowler!A428</f>
        <v>0</v>
      </c>
      <c r="O428" s="4" t="str">
        <f aca="false">IF(Prowler!N428="", "", _xlfn.CONCAT("[{""key"":""",SUBSTITUTE(SUBSTITUTE(Prowler!N428,"=",""",""value"":""")," | ","""},{""key"":"""),"""}]"))</f>
        <v/>
      </c>
    </row>
    <row r="429" customFormat="false" ht="146.95" hidden="false" customHeight="false" outlineLevel="0" collapsed="false">
      <c r="B429" s="1" t="str">
        <f aca="false">UPPER(Prowler!C429)</f>
        <v/>
      </c>
      <c r="C429" s="1" t="str">
        <f aca="false">IF(Prowler!AL429&lt;&gt;"",Prowler!AL429, _xlfn.CONCAT("arn:aws:ec2:",F429,":",Prowler!AD429,":instance/",Prowler!AK429))</f>
        <v>arn:aws:ec2:::instance/</v>
      </c>
      <c r="F429" s="1" t="n">
        <f aca="false">Prowler!AJ429</f>
        <v>0</v>
      </c>
      <c r="G429" s="1" t="n">
        <f aca="false">Prowler!E429</f>
        <v>0</v>
      </c>
      <c r="H429" s="4" t="str">
        <f aca="false">_xlfn.TEXTJOIN(CHAR(10),1, Prowler!O429:Q429)</f>
        <v/>
      </c>
      <c r="I429" s="4" t="str">
        <f aca="false">_xlfn.TEXTJOIN(CHAR(10),1, Prowler!R429:W429)</f>
        <v/>
      </c>
      <c r="J429" s="1" t="n">
        <f aca="false">IF(Prowler!K429="critical",10, IF(Prowler!K429="high",7, IF(Prowler!K429="medium",5, 1)))</f>
        <v>1</v>
      </c>
      <c r="M429" s="3" t="n">
        <f aca="false">Prowler!A429</f>
        <v>0</v>
      </c>
      <c r="O429" s="4" t="str">
        <f aca="false">IF(Prowler!N429="", "", _xlfn.CONCAT("[{""key"":""",SUBSTITUTE(SUBSTITUTE(Prowler!N429,"=",""",""value"":""")," | ","""},{""key"":"""),"""}]"))</f>
        <v/>
      </c>
    </row>
    <row r="430" customFormat="false" ht="146.95" hidden="false" customHeight="false" outlineLevel="0" collapsed="false">
      <c r="B430" s="1" t="str">
        <f aca="false">UPPER(Prowler!C430)</f>
        <v/>
      </c>
      <c r="C430" s="1" t="str">
        <f aca="false">IF(Prowler!AL430&lt;&gt;"",Prowler!AL430, _xlfn.CONCAT("arn:aws:ec2:",F430,":",Prowler!AD430,":instance/",Prowler!AK430))</f>
        <v>arn:aws:ec2:::instance/</v>
      </c>
      <c r="F430" s="1" t="n">
        <f aca="false">Prowler!AJ430</f>
        <v>0</v>
      </c>
      <c r="G430" s="1" t="n">
        <f aca="false">Prowler!E430</f>
        <v>0</v>
      </c>
      <c r="H430" s="4" t="str">
        <f aca="false">_xlfn.TEXTJOIN(CHAR(10),1, Prowler!O430:Q430)</f>
        <v/>
      </c>
      <c r="I430" s="4" t="str">
        <f aca="false">_xlfn.TEXTJOIN(CHAR(10),1, Prowler!R430:W430)</f>
        <v/>
      </c>
      <c r="J430" s="1" t="n">
        <f aca="false">IF(Prowler!K430="critical",10, IF(Prowler!K430="high",7, IF(Prowler!K430="medium",5, 1)))</f>
        <v>1</v>
      </c>
      <c r="M430" s="3" t="n">
        <f aca="false">Prowler!A430</f>
        <v>0</v>
      </c>
      <c r="O430" s="4" t="str">
        <f aca="false">IF(Prowler!N430="", "", _xlfn.CONCAT("[{""key"":""",SUBSTITUTE(SUBSTITUTE(Prowler!N430,"=",""",""value"":""")," | ","""},{""key"":"""),"""}]"))</f>
        <v/>
      </c>
    </row>
    <row r="431" customFormat="false" ht="146.95" hidden="false" customHeight="false" outlineLevel="0" collapsed="false">
      <c r="B431" s="1" t="str">
        <f aca="false">UPPER(Prowler!C431)</f>
        <v/>
      </c>
      <c r="C431" s="1" t="str">
        <f aca="false">IF(Prowler!AL431&lt;&gt;"",Prowler!AL431, _xlfn.CONCAT("arn:aws:ec2:",F431,":",Prowler!AD431,":instance/",Prowler!AK431))</f>
        <v>arn:aws:ec2:::instance/</v>
      </c>
      <c r="F431" s="1" t="n">
        <f aca="false">Prowler!AJ431</f>
        <v>0</v>
      </c>
      <c r="G431" s="1" t="n">
        <f aca="false">Prowler!E431</f>
        <v>0</v>
      </c>
      <c r="H431" s="4" t="str">
        <f aca="false">_xlfn.TEXTJOIN(CHAR(10),1, Prowler!O431:Q431)</f>
        <v/>
      </c>
      <c r="I431" s="4" t="str">
        <f aca="false">_xlfn.TEXTJOIN(CHAR(10),1, Prowler!R431:W431)</f>
        <v/>
      </c>
      <c r="J431" s="1" t="n">
        <f aca="false">IF(Prowler!K431="critical",10, IF(Prowler!K431="high",7, IF(Prowler!K431="medium",5, 1)))</f>
        <v>1</v>
      </c>
      <c r="M431" s="3" t="n">
        <f aca="false">Prowler!A431</f>
        <v>0</v>
      </c>
      <c r="O431" s="4" t="str">
        <f aca="false">IF(Prowler!N431="", "", _xlfn.CONCAT("[{""key"":""",SUBSTITUTE(SUBSTITUTE(Prowler!N431,"=",""",""value"":""")," | ","""},{""key"":"""),"""}]"))</f>
        <v/>
      </c>
    </row>
    <row r="432" customFormat="false" ht="146.95" hidden="false" customHeight="false" outlineLevel="0" collapsed="false">
      <c r="B432" s="1" t="str">
        <f aca="false">UPPER(Prowler!C432)</f>
        <v/>
      </c>
      <c r="C432" s="1" t="str">
        <f aca="false">IF(Prowler!AL432&lt;&gt;"",Prowler!AL432, _xlfn.CONCAT("arn:aws:ec2:",F432,":",Prowler!AD432,":instance/",Prowler!AK432))</f>
        <v>arn:aws:ec2:::instance/</v>
      </c>
      <c r="F432" s="1" t="n">
        <f aca="false">Prowler!AJ432</f>
        <v>0</v>
      </c>
      <c r="G432" s="1" t="n">
        <f aca="false">Prowler!E432</f>
        <v>0</v>
      </c>
      <c r="H432" s="4" t="str">
        <f aca="false">_xlfn.TEXTJOIN(CHAR(10),1, Prowler!O432:Q432)</f>
        <v/>
      </c>
      <c r="I432" s="4" t="str">
        <f aca="false">_xlfn.TEXTJOIN(CHAR(10),1, Prowler!R432:W432)</f>
        <v/>
      </c>
      <c r="J432" s="1" t="n">
        <f aca="false">IF(Prowler!K432="critical",10, IF(Prowler!K432="high",7, IF(Prowler!K432="medium",5, 1)))</f>
        <v>1</v>
      </c>
      <c r="M432" s="3" t="n">
        <f aca="false">Prowler!A432</f>
        <v>0</v>
      </c>
      <c r="O432" s="4" t="str">
        <f aca="false">IF(Prowler!N432="", "", _xlfn.CONCAT("[{""key"":""",SUBSTITUTE(SUBSTITUTE(Prowler!N432,"=",""",""value"":""")," | ","""},{""key"":"""),"""}]"))</f>
        <v/>
      </c>
    </row>
    <row r="433" customFormat="false" ht="146.95" hidden="false" customHeight="false" outlineLevel="0" collapsed="false">
      <c r="B433" s="1" t="str">
        <f aca="false">UPPER(Prowler!C433)</f>
        <v/>
      </c>
      <c r="C433" s="1" t="str">
        <f aca="false">IF(Prowler!AL433&lt;&gt;"",Prowler!AL433, _xlfn.CONCAT("arn:aws:ec2:",F433,":",Prowler!AD433,":instance/",Prowler!AK433))</f>
        <v>arn:aws:ec2:::instance/</v>
      </c>
      <c r="F433" s="1" t="n">
        <f aca="false">Prowler!AJ433</f>
        <v>0</v>
      </c>
      <c r="G433" s="1" t="n">
        <f aca="false">Prowler!E433</f>
        <v>0</v>
      </c>
      <c r="H433" s="4" t="str">
        <f aca="false">_xlfn.TEXTJOIN(CHAR(10),1, Prowler!O433:Q433)</f>
        <v/>
      </c>
      <c r="I433" s="4" t="str">
        <f aca="false">_xlfn.TEXTJOIN(CHAR(10),1, Prowler!R433:W433)</f>
        <v/>
      </c>
      <c r="J433" s="1" t="n">
        <f aca="false">IF(Prowler!K433="critical",10, IF(Prowler!K433="high",7, IF(Prowler!K433="medium",5, 1)))</f>
        <v>1</v>
      </c>
      <c r="M433" s="3" t="n">
        <f aca="false">Prowler!A433</f>
        <v>0</v>
      </c>
      <c r="O433" s="4" t="str">
        <f aca="false">IF(Prowler!N433="", "", _xlfn.CONCAT("[{""key"":""",SUBSTITUTE(SUBSTITUTE(Prowler!N433,"=",""",""value"":""")," | ","""},{""key"":"""),"""}]"))</f>
        <v/>
      </c>
    </row>
    <row r="434" customFormat="false" ht="146.95" hidden="false" customHeight="false" outlineLevel="0" collapsed="false">
      <c r="B434" s="1" t="str">
        <f aca="false">UPPER(Prowler!C434)</f>
        <v/>
      </c>
      <c r="C434" s="1" t="str">
        <f aca="false">IF(Prowler!AL434&lt;&gt;"",Prowler!AL434, _xlfn.CONCAT("arn:aws:ec2:",F434,":",Prowler!AD434,":instance/",Prowler!AK434))</f>
        <v>arn:aws:ec2:::instance/</v>
      </c>
      <c r="F434" s="1" t="n">
        <f aca="false">Prowler!AJ434</f>
        <v>0</v>
      </c>
      <c r="G434" s="1" t="n">
        <f aca="false">Prowler!E434</f>
        <v>0</v>
      </c>
      <c r="H434" s="4" t="str">
        <f aca="false">_xlfn.TEXTJOIN(CHAR(10),1, Prowler!O434:Q434)</f>
        <v/>
      </c>
      <c r="I434" s="4" t="str">
        <f aca="false">_xlfn.TEXTJOIN(CHAR(10),1, Prowler!R434:W434)</f>
        <v/>
      </c>
      <c r="J434" s="1" t="n">
        <f aca="false">IF(Prowler!K434="critical",10, IF(Prowler!K434="high",7, IF(Prowler!K434="medium",5, 1)))</f>
        <v>1</v>
      </c>
      <c r="M434" s="3" t="n">
        <f aca="false">Prowler!A434</f>
        <v>0</v>
      </c>
      <c r="O434" s="4" t="str">
        <f aca="false">IF(Prowler!N434="", "", _xlfn.CONCAT("[{""key"":""",SUBSTITUTE(SUBSTITUTE(Prowler!N434,"=",""",""value"":""")," | ","""},{""key"":"""),"""}]"))</f>
        <v/>
      </c>
    </row>
    <row r="435" customFormat="false" ht="146.95" hidden="false" customHeight="false" outlineLevel="0" collapsed="false">
      <c r="B435" s="1" t="str">
        <f aca="false">UPPER(Prowler!C435)</f>
        <v/>
      </c>
      <c r="C435" s="1" t="str">
        <f aca="false">IF(Prowler!AL435&lt;&gt;"",Prowler!AL435, _xlfn.CONCAT("arn:aws:ec2:",F435,":",Prowler!AD435,":instance/",Prowler!AK435))</f>
        <v>arn:aws:ec2:::instance/</v>
      </c>
      <c r="F435" s="1" t="n">
        <f aca="false">Prowler!AJ435</f>
        <v>0</v>
      </c>
      <c r="G435" s="1" t="n">
        <f aca="false">Prowler!E435</f>
        <v>0</v>
      </c>
      <c r="H435" s="4" t="str">
        <f aca="false">_xlfn.TEXTJOIN(CHAR(10),1, Prowler!O435:Q435)</f>
        <v/>
      </c>
      <c r="I435" s="4" t="str">
        <f aca="false">_xlfn.TEXTJOIN(CHAR(10),1, Prowler!R435:W435)</f>
        <v/>
      </c>
      <c r="J435" s="1" t="n">
        <f aca="false">IF(Prowler!K435="critical",10, IF(Prowler!K435="high",7, IF(Prowler!K435="medium",5, 1)))</f>
        <v>1</v>
      </c>
      <c r="M435" s="3" t="n">
        <f aca="false">Prowler!A435</f>
        <v>0</v>
      </c>
      <c r="O435" s="4" t="str">
        <f aca="false">IF(Prowler!N435="", "", _xlfn.CONCAT("[{""key"":""",SUBSTITUTE(SUBSTITUTE(Prowler!N435,"=",""",""value"":""")," | ","""},{""key"":"""),"""}]"))</f>
        <v/>
      </c>
    </row>
    <row r="436" customFormat="false" ht="146.95" hidden="false" customHeight="false" outlineLevel="0" collapsed="false">
      <c r="B436" s="1" t="str">
        <f aca="false">UPPER(Prowler!C436)</f>
        <v/>
      </c>
      <c r="C436" s="1" t="str">
        <f aca="false">IF(Prowler!AL436&lt;&gt;"",Prowler!AL436, _xlfn.CONCAT("arn:aws:ec2:",F436,":",Prowler!AD436,":instance/",Prowler!AK436))</f>
        <v>arn:aws:ec2:::instance/</v>
      </c>
      <c r="F436" s="1" t="n">
        <f aca="false">Prowler!AJ436</f>
        <v>0</v>
      </c>
      <c r="G436" s="1" t="n">
        <f aca="false">Prowler!E436</f>
        <v>0</v>
      </c>
      <c r="H436" s="4" t="str">
        <f aca="false">_xlfn.TEXTJOIN(CHAR(10),1, Prowler!O436:Q436)</f>
        <v/>
      </c>
      <c r="I436" s="4" t="str">
        <f aca="false">_xlfn.TEXTJOIN(CHAR(10),1, Prowler!R436:W436)</f>
        <v/>
      </c>
      <c r="J436" s="1" t="n">
        <f aca="false">IF(Prowler!K436="critical",10, IF(Prowler!K436="high",7, IF(Prowler!K436="medium",5, 1)))</f>
        <v>1</v>
      </c>
      <c r="M436" s="3" t="n">
        <f aca="false">Prowler!A436</f>
        <v>0</v>
      </c>
      <c r="O436" s="4" t="str">
        <f aca="false">IF(Prowler!N436="", "", _xlfn.CONCAT("[{""key"":""",SUBSTITUTE(SUBSTITUTE(Prowler!N436,"=",""",""value"":""")," | ","""},{""key"":"""),"""}]"))</f>
        <v/>
      </c>
    </row>
    <row r="437" customFormat="false" ht="146.95" hidden="false" customHeight="false" outlineLevel="0" collapsed="false">
      <c r="B437" s="1" t="str">
        <f aca="false">UPPER(Prowler!C437)</f>
        <v/>
      </c>
      <c r="C437" s="1" t="str">
        <f aca="false">IF(Prowler!AL437&lt;&gt;"",Prowler!AL437, _xlfn.CONCAT("arn:aws:ec2:",F437,":",Prowler!AD437,":instance/",Prowler!AK437))</f>
        <v>arn:aws:ec2:::instance/</v>
      </c>
      <c r="F437" s="1" t="n">
        <f aca="false">Prowler!AJ437</f>
        <v>0</v>
      </c>
      <c r="G437" s="1" t="n">
        <f aca="false">Prowler!E437</f>
        <v>0</v>
      </c>
      <c r="H437" s="4" t="str">
        <f aca="false">_xlfn.TEXTJOIN(CHAR(10),1, Prowler!O437:Q437)</f>
        <v/>
      </c>
      <c r="I437" s="4" t="str">
        <f aca="false">_xlfn.TEXTJOIN(CHAR(10),1, Prowler!R437:W437)</f>
        <v/>
      </c>
      <c r="J437" s="1" t="n">
        <f aca="false">IF(Prowler!K437="critical",10, IF(Prowler!K437="high",7, IF(Prowler!K437="medium",5, 1)))</f>
        <v>1</v>
      </c>
      <c r="M437" s="3" t="n">
        <f aca="false">Prowler!A437</f>
        <v>0</v>
      </c>
      <c r="O437" s="4" t="str">
        <f aca="false">IF(Prowler!N437="", "", _xlfn.CONCAT("[{""key"":""",SUBSTITUTE(SUBSTITUTE(Prowler!N437,"=",""",""value"":""")," | ","""},{""key"":"""),"""}]"))</f>
        <v/>
      </c>
    </row>
    <row r="438" customFormat="false" ht="146.95" hidden="false" customHeight="false" outlineLevel="0" collapsed="false">
      <c r="B438" s="1" t="str">
        <f aca="false">UPPER(Prowler!C438)</f>
        <v/>
      </c>
      <c r="C438" s="1" t="str">
        <f aca="false">IF(Prowler!AL438&lt;&gt;"",Prowler!AL438, _xlfn.CONCAT("arn:aws:ec2:",F438,":",Prowler!AD438,":instance/",Prowler!AK438))</f>
        <v>arn:aws:ec2:::instance/</v>
      </c>
      <c r="F438" s="1" t="n">
        <f aca="false">Prowler!AJ438</f>
        <v>0</v>
      </c>
      <c r="G438" s="1" t="n">
        <f aca="false">Prowler!E438</f>
        <v>0</v>
      </c>
      <c r="H438" s="4" t="str">
        <f aca="false">_xlfn.TEXTJOIN(CHAR(10),1, Prowler!O438:Q438)</f>
        <v/>
      </c>
      <c r="I438" s="4" t="str">
        <f aca="false">_xlfn.TEXTJOIN(CHAR(10),1, Prowler!R438:W438)</f>
        <v/>
      </c>
      <c r="J438" s="1" t="n">
        <f aca="false">IF(Prowler!K438="critical",10, IF(Prowler!K438="high",7, IF(Prowler!K438="medium",5, 1)))</f>
        <v>1</v>
      </c>
      <c r="M438" s="3" t="n">
        <f aca="false">Prowler!A438</f>
        <v>0</v>
      </c>
      <c r="O438" s="4" t="str">
        <f aca="false">IF(Prowler!N438="", "", _xlfn.CONCAT("[{""key"":""",SUBSTITUTE(SUBSTITUTE(Prowler!N438,"=",""",""value"":""")," | ","""},{""key"":"""),"""}]"))</f>
        <v/>
      </c>
    </row>
    <row r="439" customFormat="false" ht="146.95" hidden="false" customHeight="false" outlineLevel="0" collapsed="false">
      <c r="B439" s="1" t="str">
        <f aca="false">UPPER(Prowler!C439)</f>
        <v/>
      </c>
      <c r="C439" s="1" t="str">
        <f aca="false">IF(Prowler!AL439&lt;&gt;"",Prowler!AL439, _xlfn.CONCAT("arn:aws:ec2:",F439,":",Prowler!AD439,":instance/",Prowler!AK439))</f>
        <v>arn:aws:ec2:::instance/</v>
      </c>
      <c r="F439" s="1" t="n">
        <f aca="false">Prowler!AJ439</f>
        <v>0</v>
      </c>
      <c r="G439" s="1" t="n">
        <f aca="false">Prowler!E439</f>
        <v>0</v>
      </c>
      <c r="H439" s="4" t="str">
        <f aca="false">_xlfn.TEXTJOIN(CHAR(10),1, Prowler!O439:Q439)</f>
        <v/>
      </c>
      <c r="I439" s="4" t="str">
        <f aca="false">_xlfn.TEXTJOIN(CHAR(10),1, Prowler!R439:W439)</f>
        <v/>
      </c>
      <c r="J439" s="1" t="n">
        <f aca="false">IF(Prowler!K439="critical",10, IF(Prowler!K439="high",7, IF(Prowler!K439="medium",5, 1)))</f>
        <v>1</v>
      </c>
      <c r="M439" s="3" t="n">
        <f aca="false">Prowler!A439</f>
        <v>0</v>
      </c>
      <c r="O439" s="4" t="str">
        <f aca="false">IF(Prowler!N439="", "", _xlfn.CONCAT("[{""key"":""",SUBSTITUTE(SUBSTITUTE(Prowler!N439,"=",""",""value"":""")," | ","""},{""key"":"""),"""}]"))</f>
        <v/>
      </c>
    </row>
    <row r="440" customFormat="false" ht="146.95" hidden="false" customHeight="false" outlineLevel="0" collapsed="false">
      <c r="B440" s="1" t="str">
        <f aca="false">UPPER(Prowler!C440)</f>
        <v/>
      </c>
      <c r="C440" s="1" t="str">
        <f aca="false">IF(Prowler!AL440&lt;&gt;"",Prowler!AL440, _xlfn.CONCAT("arn:aws:ec2:",F440,":",Prowler!AD440,":instance/",Prowler!AK440))</f>
        <v>arn:aws:ec2:::instance/</v>
      </c>
      <c r="F440" s="1" t="n">
        <f aca="false">Prowler!AJ440</f>
        <v>0</v>
      </c>
      <c r="G440" s="1" t="n">
        <f aca="false">Prowler!E440</f>
        <v>0</v>
      </c>
      <c r="H440" s="4" t="str">
        <f aca="false">_xlfn.TEXTJOIN(CHAR(10),1, Prowler!O440:Q440)</f>
        <v/>
      </c>
      <c r="I440" s="4" t="str">
        <f aca="false">_xlfn.TEXTJOIN(CHAR(10),1, Prowler!R440:W440)</f>
        <v/>
      </c>
      <c r="J440" s="1" t="n">
        <f aca="false">IF(Prowler!K440="critical",10, IF(Prowler!K440="high",7, IF(Prowler!K440="medium",5, 1)))</f>
        <v>1</v>
      </c>
      <c r="M440" s="3" t="n">
        <f aca="false">Prowler!A440</f>
        <v>0</v>
      </c>
      <c r="O440" s="4" t="str">
        <f aca="false">IF(Prowler!N440="", "", _xlfn.CONCAT("[{""key"":""",SUBSTITUTE(SUBSTITUTE(Prowler!N440,"=",""",""value"":""")," | ","""},{""key"":"""),"""}]"))</f>
        <v/>
      </c>
    </row>
    <row r="441" customFormat="false" ht="146.95" hidden="false" customHeight="false" outlineLevel="0" collapsed="false">
      <c r="B441" s="1" t="str">
        <f aca="false">UPPER(Prowler!C441)</f>
        <v/>
      </c>
      <c r="C441" s="1" t="str">
        <f aca="false">IF(Prowler!AL441&lt;&gt;"",Prowler!AL441, _xlfn.CONCAT("arn:aws:ec2:",F441,":",Prowler!AD441,":instance/",Prowler!AK441))</f>
        <v>arn:aws:ec2:::instance/</v>
      </c>
      <c r="F441" s="1" t="n">
        <f aca="false">Prowler!AJ441</f>
        <v>0</v>
      </c>
      <c r="G441" s="1" t="n">
        <f aca="false">Prowler!E441</f>
        <v>0</v>
      </c>
      <c r="H441" s="4" t="str">
        <f aca="false">_xlfn.TEXTJOIN(CHAR(10),1, Prowler!O441:Q441)</f>
        <v/>
      </c>
      <c r="I441" s="4" t="str">
        <f aca="false">_xlfn.TEXTJOIN(CHAR(10),1, Prowler!R441:W441)</f>
        <v/>
      </c>
      <c r="J441" s="1" t="n">
        <f aca="false">IF(Prowler!K441="critical",10, IF(Prowler!K441="high",7, IF(Prowler!K441="medium",5, 1)))</f>
        <v>1</v>
      </c>
      <c r="M441" s="3" t="n">
        <f aca="false">Prowler!A441</f>
        <v>0</v>
      </c>
      <c r="O441" s="4" t="str">
        <f aca="false">IF(Prowler!N441="", "", _xlfn.CONCAT("[{""key"":""",SUBSTITUTE(SUBSTITUTE(Prowler!N441,"=",""",""value"":""")," | ","""},{""key"":"""),"""}]"))</f>
        <v/>
      </c>
    </row>
    <row r="442" customFormat="false" ht="146.95" hidden="false" customHeight="false" outlineLevel="0" collapsed="false">
      <c r="B442" s="1" t="str">
        <f aca="false">UPPER(Prowler!C442)</f>
        <v/>
      </c>
      <c r="C442" s="1" t="str">
        <f aca="false">IF(Prowler!AL442&lt;&gt;"",Prowler!AL442, _xlfn.CONCAT("arn:aws:ec2:",F442,":",Prowler!AD442,":instance/",Prowler!AK442))</f>
        <v>arn:aws:ec2:::instance/</v>
      </c>
      <c r="F442" s="1" t="n">
        <f aca="false">Prowler!AJ442</f>
        <v>0</v>
      </c>
      <c r="G442" s="1" t="n">
        <f aca="false">Prowler!E442</f>
        <v>0</v>
      </c>
      <c r="H442" s="4" t="str">
        <f aca="false">_xlfn.TEXTJOIN(CHAR(10),1, Prowler!O442:Q442)</f>
        <v/>
      </c>
      <c r="I442" s="4" t="str">
        <f aca="false">_xlfn.TEXTJOIN(CHAR(10),1, Prowler!R442:W442)</f>
        <v/>
      </c>
      <c r="J442" s="1" t="n">
        <f aca="false">IF(Prowler!K442="critical",10, IF(Prowler!K442="high",7, IF(Prowler!K442="medium",5, 1)))</f>
        <v>1</v>
      </c>
      <c r="M442" s="3" t="n">
        <f aca="false">Prowler!A442</f>
        <v>0</v>
      </c>
      <c r="O442" s="4" t="str">
        <f aca="false">IF(Prowler!N442="", "", _xlfn.CONCAT("[{""key"":""",SUBSTITUTE(SUBSTITUTE(Prowler!N442,"=",""",""value"":""")," | ","""},{""key"":"""),"""}]"))</f>
        <v/>
      </c>
    </row>
    <row r="443" customFormat="false" ht="146.95" hidden="false" customHeight="false" outlineLevel="0" collapsed="false">
      <c r="B443" s="1" t="str">
        <f aca="false">UPPER(Prowler!C443)</f>
        <v/>
      </c>
      <c r="C443" s="1" t="str">
        <f aca="false">IF(Prowler!AL443&lt;&gt;"",Prowler!AL443, _xlfn.CONCAT("arn:aws:ec2:",F443,":",Prowler!AD443,":instance/",Prowler!AK443))</f>
        <v>arn:aws:ec2:::instance/</v>
      </c>
      <c r="F443" s="1" t="n">
        <f aca="false">Prowler!AJ443</f>
        <v>0</v>
      </c>
      <c r="G443" s="1" t="n">
        <f aca="false">Prowler!E443</f>
        <v>0</v>
      </c>
      <c r="H443" s="4" t="str">
        <f aca="false">_xlfn.TEXTJOIN(CHAR(10),1, Prowler!O443:Q443)</f>
        <v/>
      </c>
      <c r="I443" s="4" t="str">
        <f aca="false">_xlfn.TEXTJOIN(CHAR(10),1, Prowler!R443:W443)</f>
        <v/>
      </c>
      <c r="J443" s="1" t="n">
        <f aca="false">IF(Prowler!K443="critical",10, IF(Prowler!K443="high",7, IF(Prowler!K443="medium",5, 1)))</f>
        <v>1</v>
      </c>
      <c r="M443" s="3" t="n">
        <f aca="false">Prowler!A443</f>
        <v>0</v>
      </c>
      <c r="O443" s="4" t="str">
        <f aca="false">IF(Prowler!N443="", "", _xlfn.CONCAT("[{""key"":""",SUBSTITUTE(SUBSTITUTE(Prowler!N443,"=",""",""value"":""")," | ","""},{""key"":"""),"""}]"))</f>
        <v/>
      </c>
    </row>
    <row r="444" customFormat="false" ht="57.2" hidden="false" customHeight="false" outlineLevel="0" collapsed="false">
      <c r="B444" s="1" t="str">
        <f aca="false">UPPER(Prowler!C444)</f>
        <v/>
      </c>
      <c r="C444" s="1" t="str">
        <f aca="false">IF(Prowler!AL444&lt;&gt;"",Prowler!AL444, _xlfn.CONCAT("arn:aws:ec2:",F444,":",Prowler!AD444,":instance/",Prowler!AK444))</f>
        <v>arn:aws:ec2:::instance/</v>
      </c>
      <c r="F444" s="1" t="n">
        <f aca="false">Prowler!AJ444</f>
        <v>0</v>
      </c>
      <c r="G444" s="1" t="n">
        <f aca="false">Prowler!E444</f>
        <v>0</v>
      </c>
      <c r="H444" s="4" t="str">
        <f aca="false">_xlfn.TEXTJOIN(CHAR(10),1, Prowler!O444:Q444)</f>
        <v/>
      </c>
      <c r="I444" s="4" t="str">
        <f aca="false">_xlfn.TEXTJOIN(CHAR(10),1, Prowler!R444:W444)</f>
        <v/>
      </c>
      <c r="J444" s="1" t="n">
        <f aca="false">IF(Prowler!K444="critical",10, IF(Prowler!K444="high",7, IF(Prowler!K444="medium",5, 1)))</f>
        <v>1</v>
      </c>
      <c r="M444" s="3" t="n">
        <f aca="false">Prowler!A444</f>
        <v>0</v>
      </c>
      <c r="O444" s="4" t="str">
        <f aca="false">IF(Prowler!N444="", "", _xlfn.CONCAT("[{""key"":""",SUBSTITUTE(SUBSTITUTE(Prowler!N444,"=",""",""value"":""")," | ","""},{""key"":"""),"""}]"))</f>
        <v/>
      </c>
    </row>
    <row r="445" customFormat="false" ht="57.2" hidden="false" customHeight="false" outlineLevel="0" collapsed="false">
      <c r="B445" s="1" t="str">
        <f aca="false">UPPER(Prowler!C445)</f>
        <v/>
      </c>
      <c r="C445" s="1" t="str">
        <f aca="false">IF(Prowler!AL445&lt;&gt;"",Prowler!AL445, _xlfn.CONCAT("arn:aws:ec2:",F445,":",Prowler!AD445,":instance/",Prowler!AK445))</f>
        <v>arn:aws:ec2:::instance/</v>
      </c>
      <c r="F445" s="1" t="n">
        <f aca="false">Prowler!AJ445</f>
        <v>0</v>
      </c>
      <c r="G445" s="1" t="n">
        <f aca="false">Prowler!E445</f>
        <v>0</v>
      </c>
      <c r="H445" s="4" t="str">
        <f aca="false">_xlfn.TEXTJOIN(CHAR(10),1, Prowler!O445:Q445)</f>
        <v/>
      </c>
      <c r="I445" s="4" t="str">
        <f aca="false">_xlfn.TEXTJOIN(CHAR(10),1, Prowler!R445:W445)</f>
        <v/>
      </c>
      <c r="J445" s="1" t="n">
        <f aca="false">IF(Prowler!K445="critical",10, IF(Prowler!K445="high",7, IF(Prowler!K445="medium",5, 1)))</f>
        <v>1</v>
      </c>
      <c r="M445" s="3" t="n">
        <f aca="false">Prowler!A445</f>
        <v>0</v>
      </c>
      <c r="O445" s="4" t="str">
        <f aca="false">IF(Prowler!N445="", "", _xlfn.CONCAT("[{""key"":""",SUBSTITUTE(SUBSTITUTE(Prowler!N445,"=",""",""value"":""")," | ","""},{""key"":"""),"""}]"))</f>
        <v/>
      </c>
    </row>
    <row r="446" customFormat="false" ht="57.2" hidden="false" customHeight="false" outlineLevel="0" collapsed="false">
      <c r="B446" s="1" t="str">
        <f aca="false">UPPER(Prowler!C446)</f>
        <v/>
      </c>
      <c r="C446" s="1" t="str">
        <f aca="false">IF(Prowler!AL446&lt;&gt;"",Prowler!AL446, _xlfn.CONCAT("arn:aws:ec2:",F446,":",Prowler!AD446,":instance/",Prowler!AK446))</f>
        <v>arn:aws:ec2:::instance/</v>
      </c>
      <c r="F446" s="1" t="n">
        <f aca="false">Prowler!AJ446</f>
        <v>0</v>
      </c>
      <c r="G446" s="1" t="n">
        <f aca="false">Prowler!E446</f>
        <v>0</v>
      </c>
      <c r="H446" s="4" t="str">
        <f aca="false">_xlfn.TEXTJOIN(CHAR(10),1, Prowler!O446:Q446)</f>
        <v/>
      </c>
      <c r="I446" s="4" t="str">
        <f aca="false">_xlfn.TEXTJOIN(CHAR(10),1, Prowler!R446:W446)</f>
        <v/>
      </c>
      <c r="J446" s="1" t="n">
        <f aca="false">IF(Prowler!K446="critical",10, IF(Prowler!K446="high",7, IF(Prowler!K446="medium",5, 1)))</f>
        <v>1</v>
      </c>
      <c r="M446" s="3" t="n">
        <f aca="false">Prowler!A446</f>
        <v>0</v>
      </c>
      <c r="O446" s="4" t="str">
        <f aca="false">IF(Prowler!N446="", "", _xlfn.CONCAT("[{""key"":""",SUBSTITUTE(SUBSTITUTE(Prowler!N446,"=",""",""value"":""")," | ","""},{""key"":"""),"""}]"))</f>
        <v/>
      </c>
    </row>
    <row r="447" customFormat="false" ht="57.2" hidden="false" customHeight="false" outlineLevel="0" collapsed="false">
      <c r="B447" s="1" t="str">
        <f aca="false">UPPER(Prowler!C447)</f>
        <v/>
      </c>
      <c r="C447" s="1" t="str">
        <f aca="false">IF(Prowler!AL447&lt;&gt;"",Prowler!AL447, _xlfn.CONCAT("arn:aws:ec2:",F447,":",Prowler!AD447,":instance/",Prowler!AK447))</f>
        <v>arn:aws:ec2:::instance/</v>
      </c>
      <c r="F447" s="1" t="n">
        <f aca="false">Prowler!AJ447</f>
        <v>0</v>
      </c>
      <c r="G447" s="1" t="n">
        <f aca="false">Prowler!E447</f>
        <v>0</v>
      </c>
      <c r="H447" s="4" t="str">
        <f aca="false">_xlfn.TEXTJOIN(CHAR(10),1, Prowler!O447:Q447)</f>
        <v/>
      </c>
      <c r="I447" s="4" t="str">
        <f aca="false">_xlfn.TEXTJOIN(CHAR(10),1, Prowler!R447:W447)</f>
        <v/>
      </c>
      <c r="J447" s="1" t="n">
        <f aca="false">IF(Prowler!K447="critical",10, IF(Prowler!K447="high",7, IF(Prowler!K447="medium",5, 1)))</f>
        <v>1</v>
      </c>
      <c r="M447" s="3" t="n">
        <f aca="false">Prowler!A447</f>
        <v>0</v>
      </c>
      <c r="O447" s="4" t="str">
        <f aca="false">IF(Prowler!N447="", "", _xlfn.CONCAT("[{""key"":""",SUBSTITUTE(SUBSTITUTE(Prowler!N447,"=",""",""value"":""")," | ","""},{""key"":"""),"""}]"))</f>
        <v/>
      </c>
    </row>
    <row r="448" customFormat="false" ht="57.2" hidden="false" customHeight="false" outlineLevel="0" collapsed="false">
      <c r="B448" s="1" t="str">
        <f aca="false">UPPER(Prowler!C448)</f>
        <v/>
      </c>
      <c r="C448" s="1" t="str">
        <f aca="false">IF(Prowler!AL448&lt;&gt;"",Prowler!AL448, _xlfn.CONCAT("arn:aws:ec2:",F448,":",Prowler!AD448,":instance/",Prowler!AK448))</f>
        <v>arn:aws:ec2:::instance/</v>
      </c>
      <c r="F448" s="1" t="n">
        <f aca="false">Prowler!AJ448</f>
        <v>0</v>
      </c>
      <c r="G448" s="1" t="n">
        <f aca="false">Prowler!E448</f>
        <v>0</v>
      </c>
      <c r="H448" s="4" t="str">
        <f aca="false">_xlfn.TEXTJOIN(CHAR(10),1, Prowler!O448:Q448)</f>
        <v/>
      </c>
      <c r="I448" s="4" t="str">
        <f aca="false">_xlfn.TEXTJOIN(CHAR(10),1, Prowler!R448:W448)</f>
        <v/>
      </c>
      <c r="J448" s="1" t="n">
        <f aca="false">IF(Prowler!K448="critical",10, IF(Prowler!K448="high",7, IF(Prowler!K448="medium",5, 1)))</f>
        <v>1</v>
      </c>
      <c r="M448" s="3" t="n">
        <f aca="false">Prowler!A448</f>
        <v>0</v>
      </c>
      <c r="O448" s="4" t="str">
        <f aca="false">IF(Prowler!N448="", "", _xlfn.CONCAT("[{""key"":""",SUBSTITUTE(SUBSTITUTE(Prowler!N448,"=",""",""value"":""")," | ","""},{""key"":"""),"""}]"))</f>
        <v/>
      </c>
    </row>
    <row r="449" customFormat="false" ht="57.2" hidden="false" customHeight="false" outlineLevel="0" collapsed="false">
      <c r="B449" s="1" t="str">
        <f aca="false">UPPER(Prowler!C449)</f>
        <v/>
      </c>
      <c r="C449" s="1" t="str">
        <f aca="false">IF(Prowler!AL449&lt;&gt;"",Prowler!AL449, _xlfn.CONCAT("arn:aws:ec2:",F449,":",Prowler!AD449,":instance/",Prowler!AK449))</f>
        <v>arn:aws:ec2:::instance/</v>
      </c>
      <c r="F449" s="1" t="n">
        <f aca="false">Prowler!AJ449</f>
        <v>0</v>
      </c>
      <c r="G449" s="1" t="n">
        <f aca="false">Prowler!E449</f>
        <v>0</v>
      </c>
      <c r="H449" s="4" t="str">
        <f aca="false">_xlfn.TEXTJOIN(CHAR(10),1, Prowler!O449:Q449)</f>
        <v/>
      </c>
      <c r="I449" s="4" t="str">
        <f aca="false">_xlfn.TEXTJOIN(CHAR(10),1, Prowler!R449:W449)</f>
        <v/>
      </c>
      <c r="J449" s="1" t="n">
        <f aca="false">IF(Prowler!K449="critical",10, IF(Prowler!K449="high",7, IF(Prowler!K449="medium",5, 1)))</f>
        <v>1</v>
      </c>
      <c r="M449" s="3" t="n">
        <f aca="false">Prowler!A449</f>
        <v>0</v>
      </c>
      <c r="O449" s="4" t="str">
        <f aca="false">IF(Prowler!N449="", "", _xlfn.CONCAT("[{""key"":""",SUBSTITUTE(SUBSTITUTE(Prowler!N449,"=",""",""value"":""")," | ","""},{""key"":"""),"""}]"))</f>
        <v/>
      </c>
    </row>
    <row r="450" customFormat="false" ht="68.3" hidden="false" customHeight="false" outlineLevel="0" collapsed="false">
      <c r="B450" s="1" t="str">
        <f aca="false">UPPER(Prowler!C450)</f>
        <v/>
      </c>
      <c r="C450" s="1" t="str">
        <f aca="false">IF(Prowler!AL450&lt;&gt;"",Prowler!AL450, _xlfn.CONCAT("arn:aws:ec2:",F450,":",Prowler!AD450,":instance/",Prowler!AK450))</f>
        <v>arn:aws:ec2:::instance/</v>
      </c>
      <c r="F450" s="1" t="n">
        <f aca="false">Prowler!AJ450</f>
        <v>0</v>
      </c>
      <c r="G450" s="1" t="n">
        <f aca="false">Prowler!E450</f>
        <v>0</v>
      </c>
      <c r="H450" s="4" t="str">
        <f aca="false">_xlfn.TEXTJOIN(CHAR(10),1, Prowler!O450:Q450)</f>
        <v/>
      </c>
      <c r="I450" s="4" t="str">
        <f aca="false">_xlfn.TEXTJOIN(CHAR(10),1, Prowler!R450:W450)</f>
        <v/>
      </c>
      <c r="J450" s="1" t="n">
        <f aca="false">IF(Prowler!K450="critical",10, IF(Prowler!K450="high",7, IF(Prowler!K450="medium",5, 1)))</f>
        <v>1</v>
      </c>
      <c r="M450" s="3" t="n">
        <f aca="false">Prowler!A450</f>
        <v>0</v>
      </c>
      <c r="O450" s="4" t="str">
        <f aca="false">IF(Prowler!N450="", "", _xlfn.CONCAT("[{""key"":""",SUBSTITUTE(SUBSTITUTE(Prowler!N450,"=",""",""value"":""")," | ","""},{""key"":"""),"""}]"))</f>
        <v/>
      </c>
    </row>
    <row r="451" customFormat="false" ht="68.3" hidden="false" customHeight="false" outlineLevel="0" collapsed="false">
      <c r="B451" s="1" t="str">
        <f aca="false">UPPER(Prowler!C451)</f>
        <v/>
      </c>
      <c r="C451" s="1" t="str">
        <f aca="false">IF(Prowler!AL451&lt;&gt;"",Prowler!AL451, _xlfn.CONCAT("arn:aws:ec2:",F451,":",Prowler!AD451,":instance/",Prowler!AK451))</f>
        <v>arn:aws:ec2:::instance/</v>
      </c>
      <c r="F451" s="1" t="n">
        <f aca="false">Prowler!AJ451</f>
        <v>0</v>
      </c>
      <c r="G451" s="1" t="n">
        <f aca="false">Prowler!E451</f>
        <v>0</v>
      </c>
      <c r="H451" s="4" t="str">
        <f aca="false">_xlfn.TEXTJOIN(CHAR(10),1, Prowler!O451:Q451)</f>
        <v/>
      </c>
      <c r="I451" s="4" t="str">
        <f aca="false">_xlfn.TEXTJOIN(CHAR(10),1, Prowler!R451:W451)</f>
        <v/>
      </c>
      <c r="J451" s="1" t="n">
        <f aca="false">IF(Prowler!K451="critical",10, IF(Prowler!K451="high",7, IF(Prowler!K451="medium",5, 1)))</f>
        <v>1</v>
      </c>
      <c r="M451" s="3" t="n">
        <f aca="false">Prowler!A451</f>
        <v>0</v>
      </c>
      <c r="O451" s="4" t="str">
        <f aca="false">IF(Prowler!N451="", "", _xlfn.CONCAT("[{""key"":""",SUBSTITUTE(SUBSTITUTE(Prowler!N451,"=",""",""value"":""")," | ","""},{""key"":"""),"""}]"))</f>
        <v/>
      </c>
    </row>
    <row r="452" customFormat="false" ht="57.2" hidden="false" customHeight="false" outlineLevel="0" collapsed="false">
      <c r="B452" s="1" t="str">
        <f aca="false">UPPER(Prowler!C452)</f>
        <v/>
      </c>
      <c r="C452" s="1" t="str">
        <f aca="false">IF(Prowler!AL452&lt;&gt;"",Prowler!AL452, _xlfn.CONCAT("arn:aws:ec2:",F452,":",Prowler!AD452,":instance/",Prowler!AK452))</f>
        <v>arn:aws:ec2:::instance/</v>
      </c>
      <c r="F452" s="1" t="n">
        <f aca="false">Prowler!AJ452</f>
        <v>0</v>
      </c>
      <c r="G452" s="1" t="n">
        <f aca="false">Prowler!E452</f>
        <v>0</v>
      </c>
      <c r="H452" s="4" t="str">
        <f aca="false">_xlfn.TEXTJOIN(CHAR(10),1, Prowler!O452:Q452)</f>
        <v/>
      </c>
      <c r="I452" s="4" t="str">
        <f aca="false">_xlfn.TEXTJOIN(CHAR(10),1, Prowler!R452:W452)</f>
        <v/>
      </c>
      <c r="J452" s="1" t="n">
        <f aca="false">IF(Prowler!K452="critical",10, IF(Prowler!K452="high",7, IF(Prowler!K452="medium",5, 1)))</f>
        <v>1</v>
      </c>
      <c r="M452" s="3" t="n">
        <f aca="false">Prowler!A452</f>
        <v>0</v>
      </c>
      <c r="O452" s="4" t="str">
        <f aca="false">IF(Prowler!N452="", "", _xlfn.CONCAT("[{""key"":""",SUBSTITUTE(SUBSTITUTE(Prowler!N452,"=",""",""value"":""")," | ","""},{""key"":"""),"""}]"))</f>
        <v/>
      </c>
    </row>
    <row r="453" customFormat="false" ht="57.2" hidden="false" customHeight="false" outlineLevel="0" collapsed="false">
      <c r="B453" s="1" t="str">
        <f aca="false">UPPER(Prowler!C453)</f>
        <v/>
      </c>
      <c r="C453" s="1" t="str">
        <f aca="false">IF(Prowler!AL453&lt;&gt;"",Prowler!AL453, _xlfn.CONCAT("arn:aws:ec2:",F453,":",Prowler!AD453,":instance/",Prowler!AK453))</f>
        <v>arn:aws:ec2:::instance/</v>
      </c>
      <c r="F453" s="1" t="n">
        <f aca="false">Prowler!AJ453</f>
        <v>0</v>
      </c>
      <c r="G453" s="1" t="n">
        <f aca="false">Prowler!E453</f>
        <v>0</v>
      </c>
      <c r="H453" s="4" t="str">
        <f aca="false">_xlfn.TEXTJOIN(CHAR(10),1, Prowler!O453:Q453)</f>
        <v/>
      </c>
      <c r="I453" s="4" t="str">
        <f aca="false">_xlfn.TEXTJOIN(CHAR(10),1, Prowler!R453:W453)</f>
        <v/>
      </c>
      <c r="J453" s="1" t="n">
        <f aca="false">IF(Prowler!K453="critical",10, IF(Prowler!K453="high",7, IF(Prowler!K453="medium",5, 1)))</f>
        <v>1</v>
      </c>
      <c r="M453" s="3" t="n">
        <f aca="false">Prowler!A453</f>
        <v>0</v>
      </c>
      <c r="O453" s="4" t="str">
        <f aca="false">IF(Prowler!N453="", "", _xlfn.CONCAT("[{""key"":""",SUBSTITUTE(SUBSTITUTE(Prowler!N453,"=",""",""value"":""")," | ","""},{""key"":"""),"""}]"))</f>
        <v/>
      </c>
    </row>
    <row r="454" customFormat="false" ht="57.2" hidden="false" customHeight="false" outlineLevel="0" collapsed="false">
      <c r="B454" s="1" t="str">
        <f aca="false">UPPER(Prowler!C454)</f>
        <v/>
      </c>
      <c r="C454" s="1" t="str">
        <f aca="false">IF(Prowler!AL454&lt;&gt;"",Prowler!AL454, _xlfn.CONCAT("arn:aws:ec2:",F454,":",Prowler!AD454,":instance/",Prowler!AK454))</f>
        <v>arn:aws:ec2:::instance/</v>
      </c>
      <c r="F454" s="1" t="n">
        <f aca="false">Prowler!AJ454</f>
        <v>0</v>
      </c>
      <c r="G454" s="1" t="n">
        <f aca="false">Prowler!E454</f>
        <v>0</v>
      </c>
      <c r="H454" s="4" t="str">
        <f aca="false">_xlfn.TEXTJOIN(CHAR(10),1, Prowler!O454:Q454)</f>
        <v/>
      </c>
      <c r="I454" s="4" t="str">
        <f aca="false">_xlfn.TEXTJOIN(CHAR(10),1, Prowler!R454:W454)</f>
        <v/>
      </c>
      <c r="J454" s="1" t="n">
        <f aca="false">IF(Prowler!K454="critical",10, IF(Prowler!K454="high",7, IF(Prowler!K454="medium",5, 1)))</f>
        <v>1</v>
      </c>
      <c r="M454" s="3" t="n">
        <f aca="false">Prowler!A454</f>
        <v>0</v>
      </c>
      <c r="O454" s="4" t="str">
        <f aca="false">IF(Prowler!N454="", "", _xlfn.CONCAT("[{""key"":""",SUBSTITUTE(SUBSTITUTE(Prowler!N454,"=",""",""value"":""")," | ","""},{""key"":"""),"""}]"))</f>
        <v/>
      </c>
    </row>
    <row r="455" customFormat="false" ht="57.2" hidden="false" customHeight="false" outlineLevel="0" collapsed="false">
      <c r="B455" s="1" t="str">
        <f aca="false">UPPER(Prowler!C455)</f>
        <v/>
      </c>
      <c r="C455" s="1" t="str">
        <f aca="false">IF(Prowler!AL455&lt;&gt;"",Prowler!AL455, _xlfn.CONCAT("arn:aws:ec2:",F455,":",Prowler!AD455,":instance/",Prowler!AK455))</f>
        <v>arn:aws:ec2:::instance/</v>
      </c>
      <c r="F455" s="1" t="n">
        <f aca="false">Prowler!AJ455</f>
        <v>0</v>
      </c>
      <c r="G455" s="1" t="n">
        <f aca="false">Prowler!E455</f>
        <v>0</v>
      </c>
      <c r="H455" s="4" t="str">
        <f aca="false">_xlfn.TEXTJOIN(CHAR(10),1, Prowler!O455:Q455)</f>
        <v/>
      </c>
      <c r="I455" s="4" t="str">
        <f aca="false">_xlfn.TEXTJOIN(CHAR(10),1, Prowler!R455:W455)</f>
        <v/>
      </c>
      <c r="J455" s="1" t="n">
        <f aca="false">IF(Prowler!K455="critical",10, IF(Prowler!K455="high",7, IF(Prowler!K455="medium",5, 1)))</f>
        <v>1</v>
      </c>
      <c r="M455" s="3" t="n">
        <f aca="false">Prowler!A455</f>
        <v>0</v>
      </c>
      <c r="O455" s="4" t="str">
        <f aca="false">IF(Prowler!N455="", "", _xlfn.CONCAT("[{""key"":""",SUBSTITUTE(SUBSTITUTE(Prowler!N455,"=",""",""value"":""")," | ","""},{""key"":"""),"""}]"))</f>
        <v/>
      </c>
    </row>
    <row r="456" customFormat="false" ht="57.2" hidden="false" customHeight="false" outlineLevel="0" collapsed="false">
      <c r="B456" s="1" t="str">
        <f aca="false">UPPER(Prowler!C456)</f>
        <v/>
      </c>
      <c r="C456" s="1" t="str">
        <f aca="false">IF(Prowler!AL456&lt;&gt;"",Prowler!AL456, _xlfn.CONCAT("arn:aws:ec2:",F456,":",Prowler!AD456,":instance/",Prowler!AK456))</f>
        <v>arn:aws:ec2:::instance/</v>
      </c>
      <c r="F456" s="1" t="n">
        <f aca="false">Prowler!AJ456</f>
        <v>0</v>
      </c>
      <c r="G456" s="1" t="n">
        <f aca="false">Prowler!E456</f>
        <v>0</v>
      </c>
      <c r="H456" s="4" t="str">
        <f aca="false">_xlfn.TEXTJOIN(CHAR(10),1, Prowler!O456:Q456)</f>
        <v/>
      </c>
      <c r="I456" s="4" t="str">
        <f aca="false">_xlfn.TEXTJOIN(CHAR(10),1, Prowler!R456:W456)</f>
        <v/>
      </c>
      <c r="J456" s="1" t="n">
        <f aca="false">IF(Prowler!K456="critical",10, IF(Prowler!K456="high",7, IF(Prowler!K456="medium",5, 1)))</f>
        <v>1</v>
      </c>
      <c r="M456" s="3" t="n">
        <f aca="false">Prowler!A456</f>
        <v>0</v>
      </c>
      <c r="O456" s="4" t="str">
        <f aca="false">IF(Prowler!N456="", "", _xlfn.CONCAT("[{""key"":""",SUBSTITUTE(SUBSTITUTE(Prowler!N456,"=",""",""value"":""")," | ","""},{""key"":"""),"""}]"))</f>
        <v/>
      </c>
    </row>
    <row r="457" customFormat="false" ht="124.55" hidden="false" customHeight="false" outlineLevel="0" collapsed="false">
      <c r="B457" s="1" t="str">
        <f aca="false">UPPER(Prowler!C457)</f>
        <v/>
      </c>
      <c r="C457" s="1" t="str">
        <f aca="false">IF(Prowler!AL457&lt;&gt;"",Prowler!AL457, _xlfn.CONCAT("arn:aws:ec2:",F457,":",Prowler!AD457,":instance/",Prowler!AK457))</f>
        <v>arn:aws:ec2:::instance/</v>
      </c>
      <c r="F457" s="1" t="n">
        <f aca="false">Prowler!AJ457</f>
        <v>0</v>
      </c>
      <c r="G457" s="1" t="n">
        <f aca="false">Prowler!E457</f>
        <v>0</v>
      </c>
      <c r="H457" s="4" t="str">
        <f aca="false">_xlfn.TEXTJOIN(CHAR(10),1, Prowler!O457:Q457)</f>
        <v/>
      </c>
      <c r="I457" s="4" t="str">
        <f aca="false">_xlfn.TEXTJOIN(CHAR(10),1, Prowler!R457:W457)</f>
        <v/>
      </c>
      <c r="J457" s="1" t="n">
        <f aca="false">IF(Prowler!K457="critical",10, IF(Prowler!K457="high",7, IF(Prowler!K457="medium",5, 1)))</f>
        <v>1</v>
      </c>
      <c r="M457" s="3" t="n">
        <f aca="false">Prowler!A457</f>
        <v>0</v>
      </c>
      <c r="O457" s="4" t="str">
        <f aca="false">IF(Prowler!N457="", "", _xlfn.CONCAT("[{""key"":""",SUBSTITUTE(SUBSTITUTE(Prowler!N457,"=",""",""value"":""")," | ","""},{""key"":"""),"""}]"))</f>
        <v/>
      </c>
    </row>
    <row r="458" customFormat="false" ht="135.45" hidden="false" customHeight="false" outlineLevel="0" collapsed="false">
      <c r="B458" s="1" t="str">
        <f aca="false">UPPER(Prowler!C458)</f>
        <v/>
      </c>
      <c r="C458" s="1" t="str">
        <f aca="false">IF(Prowler!AL458&lt;&gt;"",Prowler!AL458, _xlfn.CONCAT("arn:aws:ec2:",F458,":",Prowler!AD458,":instance/",Prowler!AK458))</f>
        <v>arn:aws:ec2:::instance/</v>
      </c>
      <c r="F458" s="1" t="n">
        <f aca="false">Prowler!AJ458</f>
        <v>0</v>
      </c>
      <c r="G458" s="1" t="n">
        <f aca="false">Prowler!E458</f>
        <v>0</v>
      </c>
      <c r="H458" s="4" t="str">
        <f aca="false">_xlfn.TEXTJOIN(CHAR(10),1, Prowler!O458:Q458)</f>
        <v/>
      </c>
      <c r="I458" s="4" t="str">
        <f aca="false">_xlfn.TEXTJOIN(CHAR(10),1, Prowler!R458:W458)</f>
        <v/>
      </c>
      <c r="J458" s="1" t="n">
        <f aca="false">IF(Prowler!K458="critical",10, IF(Prowler!K458="high",7, IF(Prowler!K458="medium",5, 1)))</f>
        <v>1</v>
      </c>
      <c r="M458" s="3" t="n">
        <f aca="false">Prowler!A458</f>
        <v>0</v>
      </c>
      <c r="O458" s="4" t="str">
        <f aca="false">IF(Prowler!N458="", "", _xlfn.CONCAT("[{""key"":""",SUBSTITUTE(SUBSTITUTE(Prowler!N458,"=",""",""value"":""")," | ","""},{""key"":"""),"""}]"))</f>
        <v/>
      </c>
    </row>
    <row r="459" customFormat="false" ht="135.45" hidden="false" customHeight="false" outlineLevel="0" collapsed="false">
      <c r="B459" s="1" t="str">
        <f aca="false">UPPER(Prowler!C459)</f>
        <v/>
      </c>
      <c r="C459" s="1" t="str">
        <f aca="false">IF(Prowler!AL459&lt;&gt;"",Prowler!AL459, _xlfn.CONCAT("arn:aws:ec2:",F459,":",Prowler!AD459,":instance/",Prowler!AK459))</f>
        <v>arn:aws:ec2:::instance/</v>
      </c>
      <c r="F459" s="1" t="n">
        <f aca="false">Prowler!AJ459</f>
        <v>0</v>
      </c>
      <c r="G459" s="1" t="n">
        <f aca="false">Prowler!E459</f>
        <v>0</v>
      </c>
      <c r="H459" s="4" t="str">
        <f aca="false">_xlfn.TEXTJOIN(CHAR(10),1, Prowler!O459:Q459)</f>
        <v/>
      </c>
      <c r="I459" s="4" t="str">
        <f aca="false">_xlfn.TEXTJOIN(CHAR(10),1, Prowler!R459:W459)</f>
        <v/>
      </c>
      <c r="J459" s="1" t="n">
        <f aca="false">IF(Prowler!K459="critical",10, IF(Prowler!K459="high",7, IF(Prowler!K459="medium",5, 1)))</f>
        <v>1</v>
      </c>
      <c r="M459" s="3" t="n">
        <f aca="false">Prowler!A459</f>
        <v>0</v>
      </c>
      <c r="O459" s="4" t="str">
        <f aca="false">IF(Prowler!N459="", "", _xlfn.CONCAT("[{""key"":""",SUBSTITUTE(SUBSTITUTE(Prowler!N459,"=",""",""value"":""")," | ","""},{""key"":"""),"""}]"))</f>
        <v/>
      </c>
    </row>
    <row r="460" customFormat="false" ht="135.45" hidden="false" customHeight="false" outlineLevel="0" collapsed="false">
      <c r="B460" s="1" t="str">
        <f aca="false">UPPER(Prowler!C460)</f>
        <v/>
      </c>
      <c r="C460" s="1" t="str">
        <f aca="false">IF(Prowler!AL460&lt;&gt;"",Prowler!AL460, _xlfn.CONCAT("arn:aws:ec2:",F460,":",Prowler!AD460,":instance/",Prowler!AK460))</f>
        <v>arn:aws:ec2:::instance/</v>
      </c>
      <c r="F460" s="1" t="n">
        <f aca="false">Prowler!AJ460</f>
        <v>0</v>
      </c>
      <c r="G460" s="1" t="n">
        <f aca="false">Prowler!E460</f>
        <v>0</v>
      </c>
      <c r="H460" s="4" t="str">
        <f aca="false">_xlfn.TEXTJOIN(CHAR(10),1, Prowler!O460:Q460)</f>
        <v/>
      </c>
      <c r="I460" s="4" t="str">
        <f aca="false">_xlfn.TEXTJOIN(CHAR(10),1, Prowler!R460:W460)</f>
        <v/>
      </c>
      <c r="J460" s="1" t="n">
        <f aca="false">IF(Prowler!K460="critical",10, IF(Prowler!K460="high",7, IF(Prowler!K460="medium",5, 1)))</f>
        <v>1</v>
      </c>
      <c r="M460" s="3" t="n">
        <f aca="false">Prowler!A460</f>
        <v>0</v>
      </c>
      <c r="O460" s="4" t="str">
        <f aca="false">IF(Prowler!N460="", "", _xlfn.CONCAT("[{""key"":""",SUBSTITUTE(SUBSTITUTE(Prowler!N460,"=",""",""value"":""")," | ","""},{""key"":"""),"""}]"))</f>
        <v/>
      </c>
    </row>
    <row r="461" customFormat="false" ht="135.45" hidden="false" customHeight="false" outlineLevel="0" collapsed="false">
      <c r="B461" s="1" t="str">
        <f aca="false">UPPER(Prowler!C461)</f>
        <v/>
      </c>
      <c r="C461" s="1" t="str">
        <f aca="false">IF(Prowler!AL461&lt;&gt;"",Prowler!AL461, _xlfn.CONCAT("arn:aws:ec2:",F461,":",Prowler!AD461,":instance/",Prowler!AK461))</f>
        <v>arn:aws:ec2:::instance/</v>
      </c>
      <c r="F461" s="1" t="n">
        <f aca="false">Prowler!AJ461</f>
        <v>0</v>
      </c>
      <c r="G461" s="1" t="n">
        <f aca="false">Prowler!E461</f>
        <v>0</v>
      </c>
      <c r="H461" s="4" t="str">
        <f aca="false">_xlfn.TEXTJOIN(CHAR(10),1, Prowler!O461:Q461)</f>
        <v/>
      </c>
      <c r="I461" s="4" t="str">
        <f aca="false">_xlfn.TEXTJOIN(CHAR(10),1, Prowler!R461:W461)</f>
        <v/>
      </c>
      <c r="J461" s="1" t="n">
        <f aca="false">IF(Prowler!K461="critical",10, IF(Prowler!K461="high",7, IF(Prowler!K461="medium",5, 1)))</f>
        <v>1</v>
      </c>
      <c r="M461" s="3" t="n">
        <f aca="false">Prowler!A461</f>
        <v>0</v>
      </c>
      <c r="O461" s="4" t="str">
        <f aca="false">IF(Prowler!N461="", "", _xlfn.CONCAT("[{""key"":""",SUBSTITUTE(SUBSTITUTE(Prowler!N461,"=",""",""value"":""")," | ","""},{""key"":"""),"""}]"))</f>
        <v/>
      </c>
    </row>
    <row r="462" customFormat="false" ht="135.45" hidden="false" customHeight="false" outlineLevel="0" collapsed="false">
      <c r="B462" s="1" t="str">
        <f aca="false">UPPER(Prowler!C462)</f>
        <v/>
      </c>
      <c r="C462" s="1" t="str">
        <f aca="false">IF(Prowler!AL462&lt;&gt;"",Prowler!AL462, _xlfn.CONCAT("arn:aws:ec2:",F462,":",Prowler!AD462,":instance/",Prowler!AK462))</f>
        <v>arn:aws:ec2:::instance/</v>
      </c>
      <c r="F462" s="1" t="n">
        <f aca="false">Prowler!AJ462</f>
        <v>0</v>
      </c>
      <c r="G462" s="1" t="n">
        <f aca="false">Prowler!E462</f>
        <v>0</v>
      </c>
      <c r="H462" s="4" t="str">
        <f aca="false">_xlfn.TEXTJOIN(CHAR(10),1, Prowler!O462:Q462)</f>
        <v/>
      </c>
      <c r="I462" s="4" t="str">
        <f aca="false">_xlfn.TEXTJOIN(CHAR(10),1, Prowler!R462:W462)</f>
        <v/>
      </c>
      <c r="J462" s="1" t="n">
        <f aca="false">IF(Prowler!K462="critical",10, IF(Prowler!K462="high",7, IF(Prowler!K462="medium",5, 1)))</f>
        <v>1</v>
      </c>
      <c r="M462" s="3" t="n">
        <f aca="false">Prowler!A462</f>
        <v>0</v>
      </c>
      <c r="O462" s="4" t="str">
        <f aca="false">IF(Prowler!N462="", "", _xlfn.CONCAT("[{""key"":""",SUBSTITUTE(SUBSTITUTE(Prowler!N462,"=",""",""value"":""")," | ","""},{""key"":"""),"""}]"))</f>
        <v/>
      </c>
    </row>
    <row r="463" customFormat="false" ht="135.45" hidden="false" customHeight="false" outlineLevel="0" collapsed="false">
      <c r="B463" s="1" t="str">
        <f aca="false">UPPER(Prowler!C463)</f>
        <v/>
      </c>
      <c r="C463" s="1" t="str">
        <f aca="false">IF(Prowler!AL463&lt;&gt;"",Prowler!AL463, _xlfn.CONCAT("arn:aws:ec2:",F463,":",Prowler!AD463,":instance/",Prowler!AK463))</f>
        <v>arn:aws:ec2:::instance/</v>
      </c>
      <c r="F463" s="1" t="n">
        <f aca="false">Prowler!AJ463</f>
        <v>0</v>
      </c>
      <c r="G463" s="1" t="n">
        <f aca="false">Prowler!E463</f>
        <v>0</v>
      </c>
      <c r="H463" s="4" t="str">
        <f aca="false">_xlfn.TEXTJOIN(CHAR(10),1, Prowler!O463:Q463)</f>
        <v/>
      </c>
      <c r="I463" s="4" t="str">
        <f aca="false">_xlfn.TEXTJOIN(CHAR(10),1, Prowler!R463:W463)</f>
        <v/>
      </c>
      <c r="J463" s="1" t="n">
        <f aca="false">IF(Prowler!K463="critical",10, IF(Prowler!K463="high",7, IF(Prowler!K463="medium",5, 1)))</f>
        <v>1</v>
      </c>
      <c r="M463" s="3" t="n">
        <f aca="false">Prowler!A463</f>
        <v>0</v>
      </c>
      <c r="O463" s="4" t="str">
        <f aca="false">IF(Prowler!N463="", "", _xlfn.CONCAT("[{""key"":""",SUBSTITUTE(SUBSTITUTE(Prowler!N463,"=",""",""value"":""")," | ","""},{""key"":"""),"""}]"))</f>
        <v/>
      </c>
    </row>
    <row r="464" customFormat="false" ht="135.45" hidden="false" customHeight="false" outlineLevel="0" collapsed="false">
      <c r="B464" s="1" t="str">
        <f aca="false">UPPER(Prowler!C464)</f>
        <v/>
      </c>
      <c r="C464" s="1" t="str">
        <f aca="false">IF(Prowler!AL464&lt;&gt;"",Prowler!AL464, _xlfn.CONCAT("arn:aws:ec2:",F464,":",Prowler!AD464,":instance/",Prowler!AK464))</f>
        <v>arn:aws:ec2:::instance/</v>
      </c>
      <c r="F464" s="1" t="n">
        <f aca="false">Prowler!AJ464</f>
        <v>0</v>
      </c>
      <c r="G464" s="1" t="n">
        <f aca="false">Prowler!E464</f>
        <v>0</v>
      </c>
      <c r="H464" s="4" t="str">
        <f aca="false">_xlfn.TEXTJOIN(CHAR(10),1, Prowler!O464:Q464)</f>
        <v/>
      </c>
      <c r="I464" s="4" t="str">
        <f aca="false">_xlfn.TEXTJOIN(CHAR(10),1, Prowler!R464:W464)</f>
        <v/>
      </c>
      <c r="J464" s="1" t="n">
        <f aca="false">IF(Prowler!K464="critical",10, IF(Prowler!K464="high",7, IF(Prowler!K464="medium",5, 1)))</f>
        <v>1</v>
      </c>
      <c r="M464" s="3" t="n">
        <f aca="false">Prowler!A464</f>
        <v>0</v>
      </c>
      <c r="O464" s="4" t="str">
        <f aca="false">IF(Prowler!N464="", "", _xlfn.CONCAT("[{""key"":""",SUBSTITUTE(SUBSTITUTE(Prowler!N464,"=",""",""value"":""")," | ","""},{""key"":"""),"""}]"))</f>
        <v/>
      </c>
    </row>
    <row r="465" customFormat="false" ht="135.45" hidden="false" customHeight="false" outlineLevel="0" collapsed="false">
      <c r="B465" s="1" t="str">
        <f aca="false">UPPER(Prowler!C465)</f>
        <v/>
      </c>
      <c r="C465" s="1" t="str">
        <f aca="false">IF(Prowler!AL465&lt;&gt;"",Prowler!AL465, _xlfn.CONCAT("arn:aws:ec2:",F465,":",Prowler!AD465,":instance/",Prowler!AK465))</f>
        <v>arn:aws:ec2:::instance/</v>
      </c>
      <c r="F465" s="1" t="n">
        <f aca="false">Prowler!AJ465</f>
        <v>0</v>
      </c>
      <c r="G465" s="1" t="n">
        <f aca="false">Prowler!E465</f>
        <v>0</v>
      </c>
      <c r="H465" s="4" t="str">
        <f aca="false">_xlfn.TEXTJOIN(CHAR(10),1, Prowler!O465:Q465)</f>
        <v/>
      </c>
      <c r="I465" s="4" t="str">
        <f aca="false">_xlfn.TEXTJOIN(CHAR(10),1, Prowler!R465:W465)</f>
        <v/>
      </c>
      <c r="J465" s="1" t="n">
        <f aca="false">IF(Prowler!K465="critical",10, IF(Prowler!K465="high",7, IF(Prowler!K465="medium",5, 1)))</f>
        <v>1</v>
      </c>
      <c r="M465" s="3" t="n">
        <f aca="false">Prowler!A465</f>
        <v>0</v>
      </c>
      <c r="O465" s="4" t="str">
        <f aca="false">IF(Prowler!N465="", "", _xlfn.CONCAT("[{""key"":""",SUBSTITUTE(SUBSTITUTE(Prowler!N465,"=",""",""value"":""")," | ","""},{""key"":"""),"""}]"))</f>
        <v/>
      </c>
    </row>
    <row r="466" customFormat="false" ht="135.45" hidden="false" customHeight="false" outlineLevel="0" collapsed="false">
      <c r="B466" s="1" t="str">
        <f aca="false">UPPER(Prowler!C466)</f>
        <v/>
      </c>
      <c r="C466" s="1" t="str">
        <f aca="false">IF(Prowler!AL466&lt;&gt;"",Prowler!AL466, _xlfn.CONCAT("arn:aws:ec2:",F466,":",Prowler!AD466,":instance/",Prowler!AK466))</f>
        <v>arn:aws:ec2:::instance/</v>
      </c>
      <c r="F466" s="1" t="n">
        <f aca="false">Prowler!AJ466</f>
        <v>0</v>
      </c>
      <c r="G466" s="1" t="n">
        <f aca="false">Prowler!E466</f>
        <v>0</v>
      </c>
      <c r="H466" s="4" t="str">
        <f aca="false">_xlfn.TEXTJOIN(CHAR(10),1, Prowler!O466:Q466)</f>
        <v/>
      </c>
      <c r="I466" s="4" t="str">
        <f aca="false">_xlfn.TEXTJOIN(CHAR(10),1, Prowler!R466:W466)</f>
        <v/>
      </c>
      <c r="J466" s="1" t="n">
        <f aca="false">IF(Prowler!K466="critical",10, IF(Prowler!K466="high",7, IF(Prowler!K466="medium",5, 1)))</f>
        <v>1</v>
      </c>
      <c r="M466" s="3" t="n">
        <f aca="false">Prowler!A466</f>
        <v>0</v>
      </c>
      <c r="O466" s="4" t="str">
        <f aca="false">IF(Prowler!N466="", "", _xlfn.CONCAT("[{""key"":""",SUBSTITUTE(SUBSTITUTE(Prowler!N466,"=",""",""value"":""")," | ","""},{""key"":"""),"""}]"))</f>
        <v/>
      </c>
    </row>
    <row r="467" customFormat="false" ht="135.45" hidden="false" customHeight="false" outlineLevel="0" collapsed="false">
      <c r="B467" s="1" t="str">
        <f aca="false">UPPER(Prowler!C467)</f>
        <v/>
      </c>
      <c r="C467" s="1" t="str">
        <f aca="false">IF(Prowler!AL467&lt;&gt;"",Prowler!AL467, _xlfn.CONCAT("arn:aws:ec2:",F467,":",Prowler!AD467,":instance/",Prowler!AK467))</f>
        <v>arn:aws:ec2:::instance/</v>
      </c>
      <c r="F467" s="1" t="n">
        <f aca="false">Prowler!AJ467</f>
        <v>0</v>
      </c>
      <c r="G467" s="1" t="n">
        <f aca="false">Prowler!E467</f>
        <v>0</v>
      </c>
      <c r="H467" s="4" t="str">
        <f aca="false">_xlfn.TEXTJOIN(CHAR(10),1, Prowler!O467:Q467)</f>
        <v/>
      </c>
      <c r="I467" s="4" t="str">
        <f aca="false">_xlfn.TEXTJOIN(CHAR(10),1, Prowler!R467:W467)</f>
        <v/>
      </c>
      <c r="J467" s="1" t="n">
        <f aca="false">IF(Prowler!K467="critical",10, IF(Prowler!K467="high",7, IF(Prowler!K467="medium",5, 1)))</f>
        <v>1</v>
      </c>
      <c r="M467" s="3" t="n">
        <f aca="false">Prowler!A467</f>
        <v>0</v>
      </c>
      <c r="O467" s="4" t="str">
        <f aca="false">IF(Prowler!N467="", "", _xlfn.CONCAT("[{""key"":""",SUBSTITUTE(SUBSTITUTE(Prowler!N467,"=",""",""value"":""")," | ","""},{""key"":"""),"""}]"))</f>
        <v/>
      </c>
    </row>
    <row r="468" customFormat="false" ht="135.45" hidden="false" customHeight="false" outlineLevel="0" collapsed="false">
      <c r="B468" s="1" t="str">
        <f aca="false">UPPER(Prowler!C468)</f>
        <v/>
      </c>
      <c r="C468" s="1" t="str">
        <f aca="false">IF(Prowler!AL468&lt;&gt;"",Prowler!AL468, _xlfn.CONCAT("arn:aws:ec2:",F468,":",Prowler!AD468,":instance/",Prowler!AK468))</f>
        <v>arn:aws:ec2:::instance/</v>
      </c>
      <c r="F468" s="1" t="n">
        <f aca="false">Prowler!AJ468</f>
        <v>0</v>
      </c>
      <c r="G468" s="1" t="n">
        <f aca="false">Prowler!E468</f>
        <v>0</v>
      </c>
      <c r="H468" s="4" t="str">
        <f aca="false">_xlfn.TEXTJOIN(CHAR(10),1, Prowler!O468:Q468)</f>
        <v/>
      </c>
      <c r="I468" s="4" t="str">
        <f aca="false">_xlfn.TEXTJOIN(CHAR(10),1, Prowler!R468:W468)</f>
        <v/>
      </c>
      <c r="J468" s="1" t="n">
        <f aca="false">IF(Prowler!K468="critical",10, IF(Prowler!K468="high",7, IF(Prowler!K468="medium",5, 1)))</f>
        <v>1</v>
      </c>
      <c r="M468" s="3" t="n">
        <f aca="false">Prowler!A468</f>
        <v>0</v>
      </c>
      <c r="O468" s="4" t="str">
        <f aca="false">IF(Prowler!N468="", "", _xlfn.CONCAT("[{""key"":""",SUBSTITUTE(SUBSTITUTE(Prowler!N468,"=",""",""value"":""")," | ","""},{""key"":"""),"""}]"))</f>
        <v/>
      </c>
    </row>
    <row r="469" customFormat="false" ht="135.45" hidden="false" customHeight="false" outlineLevel="0" collapsed="false">
      <c r="B469" s="1" t="str">
        <f aca="false">UPPER(Prowler!C469)</f>
        <v/>
      </c>
      <c r="C469" s="1" t="str">
        <f aca="false">IF(Prowler!AL469&lt;&gt;"",Prowler!AL469, _xlfn.CONCAT("arn:aws:ec2:",F469,":",Prowler!AD469,":instance/",Prowler!AK469))</f>
        <v>arn:aws:ec2:::instance/</v>
      </c>
      <c r="F469" s="1" t="n">
        <f aca="false">Prowler!AJ469</f>
        <v>0</v>
      </c>
      <c r="G469" s="1" t="n">
        <f aca="false">Prowler!E469</f>
        <v>0</v>
      </c>
      <c r="H469" s="4" t="str">
        <f aca="false">_xlfn.TEXTJOIN(CHAR(10),1, Prowler!O469:Q469)</f>
        <v/>
      </c>
      <c r="I469" s="4" t="str">
        <f aca="false">_xlfn.TEXTJOIN(CHAR(10),1, Prowler!R469:W469)</f>
        <v/>
      </c>
      <c r="J469" s="1" t="n">
        <f aca="false">IF(Prowler!K469="critical",10, IF(Prowler!K469="high",7, IF(Prowler!K469="medium",5, 1)))</f>
        <v>1</v>
      </c>
      <c r="M469" s="3" t="n">
        <f aca="false">Prowler!A469</f>
        <v>0</v>
      </c>
      <c r="O469" s="4" t="str">
        <f aca="false">IF(Prowler!N469="", "", _xlfn.CONCAT("[{""key"":""",SUBSTITUTE(SUBSTITUTE(Prowler!N469,"=",""",""value"":""")," | ","""},{""key"":"""),"""}]"))</f>
        <v/>
      </c>
    </row>
    <row r="470" customFormat="false" ht="135.45" hidden="false" customHeight="false" outlineLevel="0" collapsed="false">
      <c r="B470" s="1" t="str">
        <f aca="false">UPPER(Prowler!C470)</f>
        <v/>
      </c>
      <c r="C470" s="1" t="str">
        <f aca="false">IF(Prowler!AL470&lt;&gt;"",Prowler!AL470, _xlfn.CONCAT("arn:aws:ec2:",F470,":",Prowler!AD470,":instance/",Prowler!AK470))</f>
        <v>arn:aws:ec2:::instance/</v>
      </c>
      <c r="F470" s="1" t="n">
        <f aca="false">Prowler!AJ470</f>
        <v>0</v>
      </c>
      <c r="G470" s="1" t="n">
        <f aca="false">Prowler!E470</f>
        <v>0</v>
      </c>
      <c r="H470" s="4" t="str">
        <f aca="false">_xlfn.TEXTJOIN(CHAR(10),1, Prowler!O470:Q470)</f>
        <v/>
      </c>
      <c r="I470" s="4" t="str">
        <f aca="false">_xlfn.TEXTJOIN(CHAR(10),1, Prowler!R470:W470)</f>
        <v/>
      </c>
      <c r="J470" s="1" t="n">
        <f aca="false">IF(Prowler!K470="critical",10, IF(Prowler!K470="high",7, IF(Prowler!K470="medium",5, 1)))</f>
        <v>1</v>
      </c>
      <c r="M470" s="3" t="n">
        <f aca="false">Prowler!A470</f>
        <v>0</v>
      </c>
      <c r="O470" s="4" t="str">
        <f aca="false">IF(Prowler!N470="", "", _xlfn.CONCAT("[{""key"":""",SUBSTITUTE(SUBSTITUTE(Prowler!N470,"=",""",""value"":""")," | ","""},{""key"":"""),"""}]"))</f>
        <v/>
      </c>
    </row>
    <row r="471" customFormat="false" ht="135.45" hidden="false" customHeight="false" outlineLevel="0" collapsed="false">
      <c r="B471" s="1" t="str">
        <f aca="false">UPPER(Prowler!C471)</f>
        <v/>
      </c>
      <c r="C471" s="1" t="str">
        <f aca="false">IF(Prowler!AL471&lt;&gt;"",Prowler!AL471, _xlfn.CONCAT("arn:aws:ec2:",F471,":",Prowler!AD471,":instance/",Prowler!AK471))</f>
        <v>arn:aws:ec2:::instance/</v>
      </c>
      <c r="F471" s="1" t="n">
        <f aca="false">Prowler!AJ471</f>
        <v>0</v>
      </c>
      <c r="G471" s="1" t="n">
        <f aca="false">Prowler!E471</f>
        <v>0</v>
      </c>
      <c r="H471" s="4" t="str">
        <f aca="false">_xlfn.TEXTJOIN(CHAR(10),1, Prowler!O471:Q471)</f>
        <v/>
      </c>
      <c r="I471" s="4" t="str">
        <f aca="false">_xlfn.TEXTJOIN(CHAR(10),1, Prowler!R471:W471)</f>
        <v/>
      </c>
      <c r="J471" s="1" t="n">
        <f aca="false">IF(Prowler!K471="critical",10, IF(Prowler!K471="high",7, IF(Prowler!K471="medium",5, 1)))</f>
        <v>1</v>
      </c>
      <c r="M471" s="3" t="n">
        <f aca="false">Prowler!A471</f>
        <v>0</v>
      </c>
      <c r="O471" s="4" t="str">
        <f aca="false">IF(Prowler!N471="", "", _xlfn.CONCAT("[{""key"":""",SUBSTITUTE(SUBSTITUTE(Prowler!N471,"=",""",""value"":""")," | ","""},{""key"":"""),"""}]"))</f>
        <v/>
      </c>
    </row>
    <row r="472" customFormat="false" ht="135.45" hidden="false" customHeight="false" outlineLevel="0" collapsed="false">
      <c r="B472" s="1" t="str">
        <f aca="false">UPPER(Prowler!C472)</f>
        <v/>
      </c>
      <c r="C472" s="1" t="str">
        <f aca="false">IF(Prowler!AL472&lt;&gt;"",Prowler!AL472, _xlfn.CONCAT("arn:aws:ec2:",F472,":",Prowler!AD472,":instance/",Prowler!AK472))</f>
        <v>arn:aws:ec2:::instance/</v>
      </c>
      <c r="F472" s="1" t="n">
        <f aca="false">Prowler!AJ472</f>
        <v>0</v>
      </c>
      <c r="G472" s="1" t="n">
        <f aca="false">Prowler!E472</f>
        <v>0</v>
      </c>
      <c r="H472" s="4" t="str">
        <f aca="false">_xlfn.TEXTJOIN(CHAR(10),1, Prowler!O472:Q472)</f>
        <v/>
      </c>
      <c r="I472" s="4" t="str">
        <f aca="false">_xlfn.TEXTJOIN(CHAR(10),1, Prowler!R472:W472)</f>
        <v/>
      </c>
      <c r="J472" s="1" t="n">
        <f aca="false">IF(Prowler!K472="critical",10, IF(Prowler!K472="high",7, IF(Prowler!K472="medium",5, 1)))</f>
        <v>1</v>
      </c>
      <c r="M472" s="3" t="n">
        <f aca="false">Prowler!A472</f>
        <v>0</v>
      </c>
      <c r="O472" s="4" t="str">
        <f aca="false">IF(Prowler!N472="", "", _xlfn.CONCAT("[{""key"":""",SUBSTITUTE(SUBSTITUTE(Prowler!N472,"=",""",""value"":""")," | ","""},{""key"":"""),"""}]"))</f>
        <v/>
      </c>
    </row>
    <row r="473" customFormat="false" ht="135.45" hidden="false" customHeight="false" outlineLevel="0" collapsed="false">
      <c r="B473" s="1" t="str">
        <f aca="false">UPPER(Prowler!C473)</f>
        <v/>
      </c>
      <c r="C473" s="1" t="str">
        <f aca="false">IF(Prowler!AL473&lt;&gt;"",Prowler!AL473, _xlfn.CONCAT("arn:aws:ec2:",F473,":",Prowler!AD473,":instance/",Prowler!AK473))</f>
        <v>arn:aws:ec2:::instance/</v>
      </c>
      <c r="F473" s="1" t="n">
        <f aca="false">Prowler!AJ473</f>
        <v>0</v>
      </c>
      <c r="G473" s="1" t="n">
        <f aca="false">Prowler!E473</f>
        <v>0</v>
      </c>
      <c r="H473" s="4" t="str">
        <f aca="false">_xlfn.TEXTJOIN(CHAR(10),1, Prowler!O473:Q473)</f>
        <v/>
      </c>
      <c r="I473" s="4" t="str">
        <f aca="false">_xlfn.TEXTJOIN(CHAR(10),1, Prowler!R473:W473)</f>
        <v/>
      </c>
      <c r="J473" s="1" t="n">
        <f aca="false">IF(Prowler!K473="critical",10, IF(Prowler!K473="high",7, IF(Prowler!K473="medium",5, 1)))</f>
        <v>1</v>
      </c>
      <c r="M473" s="3" t="n">
        <f aca="false">Prowler!A473</f>
        <v>0</v>
      </c>
      <c r="O473" s="4" t="str">
        <f aca="false">IF(Prowler!N473="", "", _xlfn.CONCAT("[{""key"":""",SUBSTITUTE(SUBSTITUTE(Prowler!N473,"=",""",""value"":""")," | ","""},{""key"":"""),"""}]"))</f>
        <v/>
      </c>
    </row>
    <row r="474" customFormat="false" ht="135.45" hidden="false" customHeight="false" outlineLevel="0" collapsed="false">
      <c r="B474" s="1" t="str">
        <f aca="false">UPPER(Prowler!C474)</f>
        <v/>
      </c>
      <c r="C474" s="1" t="str">
        <f aca="false">IF(Prowler!AL474&lt;&gt;"",Prowler!AL474, _xlfn.CONCAT("arn:aws:ec2:",F474,":",Prowler!AD474,":instance/",Prowler!AK474))</f>
        <v>arn:aws:ec2:::instance/</v>
      </c>
      <c r="F474" s="1" t="n">
        <f aca="false">Prowler!AJ474</f>
        <v>0</v>
      </c>
      <c r="G474" s="1" t="n">
        <f aca="false">Prowler!E474</f>
        <v>0</v>
      </c>
      <c r="H474" s="4" t="str">
        <f aca="false">_xlfn.TEXTJOIN(CHAR(10),1, Prowler!O474:Q474)</f>
        <v/>
      </c>
      <c r="I474" s="4" t="str">
        <f aca="false">_xlfn.TEXTJOIN(CHAR(10),1, Prowler!R474:W474)</f>
        <v/>
      </c>
      <c r="J474" s="1" t="n">
        <f aca="false">IF(Prowler!K474="critical",10, IF(Prowler!K474="high",7, IF(Prowler!K474="medium",5, 1)))</f>
        <v>1</v>
      </c>
      <c r="M474" s="3" t="n">
        <f aca="false">Prowler!A474</f>
        <v>0</v>
      </c>
      <c r="O474" s="4" t="str">
        <f aca="false">IF(Prowler!N474="", "", _xlfn.CONCAT("[{""key"":""",SUBSTITUTE(SUBSTITUTE(Prowler!N474,"=",""",""value"":""")," | ","""},{""key"":"""),"""}]"))</f>
        <v/>
      </c>
    </row>
    <row r="475" customFormat="false" ht="135.45" hidden="false" customHeight="false" outlineLevel="0" collapsed="false">
      <c r="B475" s="1" t="str">
        <f aca="false">UPPER(Prowler!C475)</f>
        <v/>
      </c>
      <c r="C475" s="1" t="str">
        <f aca="false">IF(Prowler!AL475&lt;&gt;"",Prowler!AL475, _xlfn.CONCAT("arn:aws:ec2:",F475,":",Prowler!AD475,":instance/",Prowler!AK475))</f>
        <v>arn:aws:ec2:::instance/</v>
      </c>
      <c r="F475" s="1" t="n">
        <f aca="false">Prowler!AJ475</f>
        <v>0</v>
      </c>
      <c r="G475" s="1" t="n">
        <f aca="false">Prowler!E475</f>
        <v>0</v>
      </c>
      <c r="H475" s="4" t="str">
        <f aca="false">_xlfn.TEXTJOIN(CHAR(10),1, Prowler!O475:Q475)</f>
        <v/>
      </c>
      <c r="I475" s="4" t="str">
        <f aca="false">_xlfn.TEXTJOIN(CHAR(10),1, Prowler!R475:W475)</f>
        <v/>
      </c>
      <c r="J475" s="1" t="n">
        <f aca="false">IF(Prowler!K475="critical",10, IF(Prowler!K475="high",7, IF(Prowler!K475="medium",5, 1)))</f>
        <v>1</v>
      </c>
      <c r="M475" s="3" t="n">
        <f aca="false">Prowler!A475</f>
        <v>0</v>
      </c>
      <c r="O475" s="4" t="str">
        <f aca="false">IF(Prowler!N475="", "", _xlfn.CONCAT("[{""key"":""",SUBSTITUTE(SUBSTITUTE(Prowler!N475,"=",""",""value"":""")," | ","""},{""key"":"""),"""}]"))</f>
        <v/>
      </c>
    </row>
    <row r="476" customFormat="false" ht="135.45" hidden="false" customHeight="false" outlineLevel="0" collapsed="false">
      <c r="B476" s="1" t="str">
        <f aca="false">UPPER(Prowler!C476)</f>
        <v/>
      </c>
      <c r="C476" s="1" t="str">
        <f aca="false">IF(Prowler!AL476&lt;&gt;"",Prowler!AL476, _xlfn.CONCAT("arn:aws:ec2:",F476,":",Prowler!AD476,":instance/",Prowler!AK476))</f>
        <v>arn:aws:ec2:::instance/</v>
      </c>
      <c r="F476" s="1" t="n">
        <f aca="false">Prowler!AJ476</f>
        <v>0</v>
      </c>
      <c r="G476" s="1" t="n">
        <f aca="false">Prowler!E476</f>
        <v>0</v>
      </c>
      <c r="H476" s="4" t="str">
        <f aca="false">_xlfn.TEXTJOIN(CHAR(10),1, Prowler!O476:Q476)</f>
        <v/>
      </c>
      <c r="I476" s="4" t="str">
        <f aca="false">_xlfn.TEXTJOIN(CHAR(10),1, Prowler!R476:W476)</f>
        <v/>
      </c>
      <c r="J476" s="1" t="n">
        <f aca="false">IF(Prowler!K476="critical",10, IF(Prowler!K476="high",7, IF(Prowler!K476="medium",5, 1)))</f>
        <v>1</v>
      </c>
      <c r="M476" s="3" t="n">
        <f aca="false">Prowler!A476</f>
        <v>0</v>
      </c>
      <c r="O476" s="4" t="str">
        <f aca="false">IF(Prowler!N476="", "", _xlfn.CONCAT("[{""key"":""",SUBSTITUTE(SUBSTITUTE(Prowler!N476,"=",""",""value"":""")," | ","""},{""key"":"""),"""}]"))</f>
        <v/>
      </c>
    </row>
    <row r="477" customFormat="false" ht="135.45" hidden="false" customHeight="false" outlineLevel="0" collapsed="false">
      <c r="B477" s="1" t="str">
        <f aca="false">UPPER(Prowler!C477)</f>
        <v/>
      </c>
      <c r="C477" s="1" t="str">
        <f aca="false">IF(Prowler!AL477&lt;&gt;"",Prowler!AL477, _xlfn.CONCAT("arn:aws:ec2:",F477,":",Prowler!AD477,":instance/",Prowler!AK477))</f>
        <v>arn:aws:ec2:::instance/</v>
      </c>
      <c r="F477" s="1" t="n">
        <f aca="false">Prowler!AJ477</f>
        <v>0</v>
      </c>
      <c r="G477" s="1" t="n">
        <f aca="false">Prowler!E477</f>
        <v>0</v>
      </c>
      <c r="H477" s="4" t="str">
        <f aca="false">_xlfn.TEXTJOIN(CHAR(10),1, Prowler!O477:Q477)</f>
        <v/>
      </c>
      <c r="I477" s="4" t="str">
        <f aca="false">_xlfn.TEXTJOIN(CHAR(10),1, Prowler!R477:W477)</f>
        <v/>
      </c>
      <c r="J477" s="1" t="n">
        <f aca="false">IF(Prowler!K477="critical",10, IF(Prowler!K477="high",7, IF(Prowler!K477="medium",5, 1)))</f>
        <v>1</v>
      </c>
      <c r="M477" s="3" t="n">
        <f aca="false">Prowler!A477</f>
        <v>0</v>
      </c>
      <c r="O477" s="4" t="str">
        <f aca="false">IF(Prowler!N477="", "", _xlfn.CONCAT("[{""key"":""",SUBSTITUTE(SUBSTITUTE(Prowler!N477,"=",""",""value"":""")," | ","""},{""key"":"""),"""}]"))</f>
        <v/>
      </c>
    </row>
    <row r="478" customFormat="false" ht="135.45" hidden="false" customHeight="false" outlineLevel="0" collapsed="false">
      <c r="B478" s="1" t="str">
        <f aca="false">UPPER(Prowler!C478)</f>
        <v/>
      </c>
      <c r="C478" s="1" t="str">
        <f aca="false">IF(Prowler!AL478&lt;&gt;"",Prowler!AL478, _xlfn.CONCAT("arn:aws:ec2:",F478,":",Prowler!AD478,":instance/",Prowler!AK478))</f>
        <v>arn:aws:ec2:::instance/</v>
      </c>
      <c r="F478" s="1" t="n">
        <f aca="false">Prowler!AJ478</f>
        <v>0</v>
      </c>
      <c r="G478" s="1" t="n">
        <f aca="false">Prowler!E478</f>
        <v>0</v>
      </c>
      <c r="H478" s="4" t="str">
        <f aca="false">_xlfn.TEXTJOIN(CHAR(10),1, Prowler!O478:Q478)</f>
        <v/>
      </c>
      <c r="I478" s="4" t="str">
        <f aca="false">_xlfn.TEXTJOIN(CHAR(10),1, Prowler!R478:W478)</f>
        <v/>
      </c>
      <c r="J478" s="1" t="n">
        <f aca="false">IF(Prowler!K478="critical",10, IF(Prowler!K478="high",7, IF(Prowler!K478="medium",5, 1)))</f>
        <v>1</v>
      </c>
      <c r="M478" s="3" t="n">
        <f aca="false">Prowler!A478</f>
        <v>0</v>
      </c>
      <c r="O478" s="4" t="str">
        <f aca="false">IF(Prowler!N478="", "", _xlfn.CONCAT("[{""key"":""",SUBSTITUTE(SUBSTITUTE(Prowler!N478,"=",""",""value"":""")," | ","""},{""key"":"""),"""}]"))</f>
        <v/>
      </c>
    </row>
    <row r="479" customFormat="false" ht="135.45" hidden="false" customHeight="false" outlineLevel="0" collapsed="false">
      <c r="B479" s="1" t="str">
        <f aca="false">UPPER(Prowler!C479)</f>
        <v/>
      </c>
      <c r="C479" s="1" t="str">
        <f aca="false">IF(Prowler!AL479&lt;&gt;"",Prowler!AL479, _xlfn.CONCAT("arn:aws:ec2:",F479,":",Prowler!AD479,":instance/",Prowler!AK479))</f>
        <v>arn:aws:ec2:::instance/</v>
      </c>
      <c r="F479" s="1" t="n">
        <f aca="false">Prowler!AJ479</f>
        <v>0</v>
      </c>
      <c r="G479" s="1" t="n">
        <f aca="false">Prowler!E479</f>
        <v>0</v>
      </c>
      <c r="H479" s="4" t="str">
        <f aca="false">_xlfn.TEXTJOIN(CHAR(10),1, Prowler!O479:Q479)</f>
        <v/>
      </c>
      <c r="I479" s="4" t="str">
        <f aca="false">_xlfn.TEXTJOIN(CHAR(10),1, Prowler!R479:W479)</f>
        <v/>
      </c>
      <c r="J479" s="1" t="n">
        <f aca="false">IF(Prowler!K479="critical",10, IF(Prowler!K479="high",7, IF(Prowler!K479="medium",5, 1)))</f>
        <v>1</v>
      </c>
      <c r="M479" s="3" t="n">
        <f aca="false">Prowler!A479</f>
        <v>0</v>
      </c>
      <c r="O479" s="4" t="str">
        <f aca="false">IF(Prowler!N479="", "", _xlfn.CONCAT("[{""key"":""",SUBSTITUTE(SUBSTITUTE(Prowler!N479,"=",""",""value"":""")," | ","""},{""key"":"""),"""}]"))</f>
        <v/>
      </c>
    </row>
    <row r="480" customFormat="false" ht="135.45" hidden="false" customHeight="false" outlineLevel="0" collapsed="false">
      <c r="B480" s="1" t="str">
        <f aca="false">UPPER(Prowler!C480)</f>
        <v/>
      </c>
      <c r="C480" s="1" t="str">
        <f aca="false">IF(Prowler!AL480&lt;&gt;"",Prowler!AL480, _xlfn.CONCAT("arn:aws:ec2:",F480,":",Prowler!AD480,":instance/",Prowler!AK480))</f>
        <v>arn:aws:ec2:::instance/</v>
      </c>
      <c r="F480" s="1" t="n">
        <f aca="false">Prowler!AJ480</f>
        <v>0</v>
      </c>
      <c r="G480" s="1" t="n">
        <f aca="false">Prowler!E480</f>
        <v>0</v>
      </c>
      <c r="H480" s="4" t="str">
        <f aca="false">_xlfn.TEXTJOIN(CHAR(10),1, Prowler!O480:Q480)</f>
        <v/>
      </c>
      <c r="I480" s="4" t="str">
        <f aca="false">_xlfn.TEXTJOIN(CHAR(10),1, Prowler!R480:W480)</f>
        <v/>
      </c>
      <c r="J480" s="1" t="n">
        <f aca="false">IF(Prowler!K480="critical",10, IF(Prowler!K480="high",7, IF(Prowler!K480="medium",5, 1)))</f>
        <v>1</v>
      </c>
      <c r="M480" s="3" t="n">
        <f aca="false">Prowler!A480</f>
        <v>0</v>
      </c>
      <c r="O480" s="4" t="str">
        <f aca="false">IF(Prowler!N480="", "", _xlfn.CONCAT("[{""key"":""",SUBSTITUTE(SUBSTITUTE(Prowler!N480,"=",""",""value"":""")," | ","""},{""key"":"""),"""}]"))</f>
        <v/>
      </c>
    </row>
    <row r="481" customFormat="false" ht="135.45" hidden="false" customHeight="false" outlineLevel="0" collapsed="false">
      <c r="B481" s="1" t="str">
        <f aca="false">UPPER(Prowler!C481)</f>
        <v/>
      </c>
      <c r="C481" s="1" t="str">
        <f aca="false">IF(Prowler!AL481&lt;&gt;"",Prowler!AL481, _xlfn.CONCAT("arn:aws:ec2:",F481,":",Prowler!AD481,":instance/",Prowler!AK481))</f>
        <v>arn:aws:ec2:::instance/</v>
      </c>
      <c r="F481" s="1" t="n">
        <f aca="false">Prowler!AJ481</f>
        <v>0</v>
      </c>
      <c r="G481" s="1" t="n">
        <f aca="false">Prowler!E481</f>
        <v>0</v>
      </c>
      <c r="H481" s="4" t="str">
        <f aca="false">_xlfn.TEXTJOIN(CHAR(10),1, Prowler!O481:Q481)</f>
        <v/>
      </c>
      <c r="I481" s="4" t="str">
        <f aca="false">_xlfn.TEXTJOIN(CHAR(10),1, Prowler!R481:W481)</f>
        <v/>
      </c>
      <c r="J481" s="1" t="n">
        <f aca="false">IF(Prowler!K481="critical",10, IF(Prowler!K481="high",7, IF(Prowler!K481="medium",5, 1)))</f>
        <v>1</v>
      </c>
      <c r="M481" s="3" t="n">
        <f aca="false">Prowler!A481</f>
        <v>0</v>
      </c>
      <c r="O481" s="4" t="str">
        <f aca="false">IF(Prowler!N481="", "", _xlfn.CONCAT("[{""key"":""",SUBSTITUTE(SUBSTITUTE(Prowler!N481,"=",""",""value"":""")," | ","""},{""key"":"""),"""}]"))</f>
        <v/>
      </c>
    </row>
    <row r="482" customFormat="false" ht="135.45" hidden="false" customHeight="false" outlineLevel="0" collapsed="false">
      <c r="B482" s="1" t="str">
        <f aca="false">UPPER(Prowler!C482)</f>
        <v/>
      </c>
      <c r="C482" s="1" t="str">
        <f aca="false">IF(Prowler!AL482&lt;&gt;"",Prowler!AL482, _xlfn.CONCAT("arn:aws:ec2:",F482,":",Prowler!AD482,":instance/",Prowler!AK482))</f>
        <v>arn:aws:ec2:::instance/</v>
      </c>
      <c r="F482" s="1" t="n">
        <f aca="false">Prowler!AJ482</f>
        <v>0</v>
      </c>
      <c r="G482" s="1" t="n">
        <f aca="false">Prowler!E482</f>
        <v>0</v>
      </c>
      <c r="H482" s="4" t="str">
        <f aca="false">_xlfn.TEXTJOIN(CHAR(10),1, Prowler!O482:Q482)</f>
        <v/>
      </c>
      <c r="I482" s="4" t="str">
        <f aca="false">_xlfn.TEXTJOIN(CHAR(10),1, Prowler!R482:W482)</f>
        <v/>
      </c>
      <c r="J482" s="1" t="n">
        <f aca="false">IF(Prowler!K482="critical",10, IF(Prowler!K482="high",7, IF(Prowler!K482="medium",5, 1)))</f>
        <v>1</v>
      </c>
      <c r="M482" s="3" t="n">
        <f aca="false">Prowler!A482</f>
        <v>0</v>
      </c>
      <c r="O482" s="4" t="str">
        <f aca="false">IF(Prowler!N482="", "", _xlfn.CONCAT("[{""key"":""",SUBSTITUTE(SUBSTITUTE(Prowler!N482,"=",""",""value"":""")," | ","""},{""key"":"""),"""}]"))</f>
        <v/>
      </c>
    </row>
    <row r="483" customFormat="false" ht="135.45" hidden="false" customHeight="false" outlineLevel="0" collapsed="false">
      <c r="B483" s="1" t="str">
        <f aca="false">UPPER(Prowler!C483)</f>
        <v/>
      </c>
      <c r="C483" s="1" t="str">
        <f aca="false">IF(Prowler!AL483&lt;&gt;"",Prowler!AL483, _xlfn.CONCAT("arn:aws:ec2:",F483,":",Prowler!AD483,":instance/",Prowler!AK483))</f>
        <v>arn:aws:ec2:::instance/</v>
      </c>
      <c r="F483" s="1" t="n">
        <f aca="false">Prowler!AJ483</f>
        <v>0</v>
      </c>
      <c r="G483" s="1" t="n">
        <f aca="false">Prowler!E483</f>
        <v>0</v>
      </c>
      <c r="H483" s="4" t="str">
        <f aca="false">_xlfn.TEXTJOIN(CHAR(10),1, Prowler!O483:Q483)</f>
        <v/>
      </c>
      <c r="I483" s="4" t="str">
        <f aca="false">_xlfn.TEXTJOIN(CHAR(10),1, Prowler!R483:W483)</f>
        <v/>
      </c>
      <c r="J483" s="1" t="n">
        <f aca="false">IF(Prowler!K483="critical",10, IF(Prowler!K483="high",7, IF(Prowler!K483="medium",5, 1)))</f>
        <v>1</v>
      </c>
      <c r="M483" s="3" t="n">
        <f aca="false">Prowler!A483</f>
        <v>0</v>
      </c>
      <c r="O483" s="4" t="str">
        <f aca="false">IF(Prowler!N483="", "", _xlfn.CONCAT("[{""key"":""",SUBSTITUTE(SUBSTITUTE(Prowler!N483,"=",""",""value"":""")," | ","""},{""key"":"""),"""}]"))</f>
        <v/>
      </c>
    </row>
    <row r="484" customFormat="false" ht="135.45" hidden="false" customHeight="false" outlineLevel="0" collapsed="false">
      <c r="B484" s="1" t="str">
        <f aca="false">UPPER(Prowler!C484)</f>
        <v/>
      </c>
      <c r="C484" s="1" t="str">
        <f aca="false">IF(Prowler!AL484&lt;&gt;"",Prowler!AL484, _xlfn.CONCAT("arn:aws:ec2:",F484,":",Prowler!AD484,":instance/",Prowler!AK484))</f>
        <v>arn:aws:ec2:::instance/</v>
      </c>
      <c r="F484" s="1" t="n">
        <f aca="false">Prowler!AJ484</f>
        <v>0</v>
      </c>
      <c r="G484" s="1" t="n">
        <f aca="false">Prowler!E484</f>
        <v>0</v>
      </c>
      <c r="H484" s="4" t="str">
        <f aca="false">_xlfn.TEXTJOIN(CHAR(10),1, Prowler!O484:Q484)</f>
        <v/>
      </c>
      <c r="I484" s="4" t="str">
        <f aca="false">_xlfn.TEXTJOIN(CHAR(10),1, Prowler!R484:W484)</f>
        <v/>
      </c>
      <c r="J484" s="1" t="n">
        <f aca="false">IF(Prowler!K484="critical",10, IF(Prowler!K484="high",7, IF(Prowler!K484="medium",5, 1)))</f>
        <v>1</v>
      </c>
      <c r="M484" s="3" t="n">
        <f aca="false">Prowler!A484</f>
        <v>0</v>
      </c>
      <c r="O484" s="4" t="str">
        <f aca="false">IF(Prowler!N484="", "", _xlfn.CONCAT("[{""key"":""",SUBSTITUTE(SUBSTITUTE(Prowler!N484,"=",""",""value"":""")," | ","""},{""key"":"""),"""}]"))</f>
        <v/>
      </c>
    </row>
    <row r="485" customFormat="false" ht="135.45" hidden="false" customHeight="false" outlineLevel="0" collapsed="false">
      <c r="B485" s="1" t="str">
        <f aca="false">UPPER(Prowler!C485)</f>
        <v/>
      </c>
      <c r="C485" s="1" t="str">
        <f aca="false">IF(Prowler!AL485&lt;&gt;"",Prowler!AL485, _xlfn.CONCAT("arn:aws:ec2:",F485,":",Prowler!AD485,":instance/",Prowler!AK485))</f>
        <v>arn:aws:ec2:::instance/</v>
      </c>
      <c r="F485" s="1" t="n">
        <f aca="false">Prowler!AJ485</f>
        <v>0</v>
      </c>
      <c r="G485" s="1" t="n">
        <f aca="false">Prowler!E485</f>
        <v>0</v>
      </c>
      <c r="H485" s="4" t="str">
        <f aca="false">_xlfn.TEXTJOIN(CHAR(10),1, Prowler!O485:Q485)</f>
        <v/>
      </c>
      <c r="I485" s="4" t="str">
        <f aca="false">_xlfn.TEXTJOIN(CHAR(10),1, Prowler!R485:W485)</f>
        <v/>
      </c>
      <c r="J485" s="1" t="n">
        <f aca="false">IF(Prowler!K485="critical",10, IF(Prowler!K485="high",7, IF(Prowler!K485="medium",5, 1)))</f>
        <v>1</v>
      </c>
      <c r="M485" s="3" t="n">
        <f aca="false">Prowler!A485</f>
        <v>0</v>
      </c>
      <c r="O485" s="4" t="str">
        <f aca="false">IF(Prowler!N485="", "", _xlfn.CONCAT("[{""key"":""",SUBSTITUTE(SUBSTITUTE(Prowler!N485,"=",""",""value"":""")," | ","""},{""key"":"""),"""}]"))</f>
        <v/>
      </c>
    </row>
    <row r="486" customFormat="false" ht="135.45" hidden="false" customHeight="false" outlineLevel="0" collapsed="false">
      <c r="B486" s="1" t="str">
        <f aca="false">UPPER(Prowler!C486)</f>
        <v/>
      </c>
      <c r="C486" s="1" t="str">
        <f aca="false">IF(Prowler!AL486&lt;&gt;"",Prowler!AL486, _xlfn.CONCAT("arn:aws:ec2:",F486,":",Prowler!AD486,":instance/",Prowler!AK486))</f>
        <v>arn:aws:ec2:::instance/</v>
      </c>
      <c r="F486" s="1" t="n">
        <f aca="false">Prowler!AJ486</f>
        <v>0</v>
      </c>
      <c r="G486" s="1" t="n">
        <f aca="false">Prowler!E486</f>
        <v>0</v>
      </c>
      <c r="H486" s="4" t="str">
        <f aca="false">_xlfn.TEXTJOIN(CHAR(10),1, Prowler!O486:Q486)</f>
        <v/>
      </c>
      <c r="I486" s="4" t="str">
        <f aca="false">_xlfn.TEXTJOIN(CHAR(10),1, Prowler!R486:W486)</f>
        <v/>
      </c>
      <c r="J486" s="1" t="n">
        <f aca="false">IF(Prowler!K486="critical",10, IF(Prowler!K486="high",7, IF(Prowler!K486="medium",5, 1)))</f>
        <v>1</v>
      </c>
      <c r="M486" s="3" t="n">
        <f aca="false">Prowler!A486</f>
        <v>0</v>
      </c>
      <c r="O486" s="4" t="str">
        <f aca="false">IF(Prowler!N486="", "", _xlfn.CONCAT("[{""key"":""",SUBSTITUTE(SUBSTITUTE(Prowler!N486,"=",""",""value"":""")," | ","""},{""key"":"""),"""}]"))</f>
        <v/>
      </c>
    </row>
    <row r="487" customFormat="false" ht="135.45" hidden="false" customHeight="false" outlineLevel="0" collapsed="false">
      <c r="B487" s="1" t="str">
        <f aca="false">UPPER(Prowler!C487)</f>
        <v/>
      </c>
      <c r="C487" s="1" t="str">
        <f aca="false">IF(Prowler!AL487&lt;&gt;"",Prowler!AL487, _xlfn.CONCAT("arn:aws:ec2:",F487,":",Prowler!AD487,":instance/",Prowler!AK487))</f>
        <v>arn:aws:ec2:::instance/</v>
      </c>
      <c r="F487" s="1" t="n">
        <f aca="false">Prowler!AJ487</f>
        <v>0</v>
      </c>
      <c r="G487" s="1" t="n">
        <f aca="false">Prowler!E487</f>
        <v>0</v>
      </c>
      <c r="H487" s="4" t="str">
        <f aca="false">_xlfn.TEXTJOIN(CHAR(10),1, Prowler!O487:Q487)</f>
        <v/>
      </c>
      <c r="I487" s="4" t="str">
        <f aca="false">_xlfn.TEXTJOIN(CHAR(10),1, Prowler!R487:W487)</f>
        <v/>
      </c>
      <c r="J487" s="1" t="n">
        <f aca="false">IF(Prowler!K487="critical",10, IF(Prowler!K487="high",7, IF(Prowler!K487="medium",5, 1)))</f>
        <v>1</v>
      </c>
      <c r="M487" s="3" t="n">
        <f aca="false">Prowler!A487</f>
        <v>0</v>
      </c>
      <c r="O487" s="4" t="str">
        <f aca="false">IF(Prowler!N487="", "", _xlfn.CONCAT("[{""key"":""",SUBSTITUTE(SUBSTITUTE(Prowler!N487,"=",""",""value"":""")," | ","""},{""key"":"""),"""}]"))</f>
        <v/>
      </c>
    </row>
    <row r="488" customFormat="false" ht="135.45" hidden="false" customHeight="false" outlineLevel="0" collapsed="false">
      <c r="B488" s="1" t="str">
        <f aca="false">UPPER(Prowler!C488)</f>
        <v/>
      </c>
      <c r="C488" s="1" t="str">
        <f aca="false">IF(Prowler!AL488&lt;&gt;"",Prowler!AL488, _xlfn.CONCAT("arn:aws:ec2:",F488,":",Prowler!AD488,":instance/",Prowler!AK488))</f>
        <v>arn:aws:ec2:::instance/</v>
      </c>
      <c r="F488" s="1" t="n">
        <f aca="false">Prowler!AJ488</f>
        <v>0</v>
      </c>
      <c r="G488" s="1" t="n">
        <f aca="false">Prowler!E488</f>
        <v>0</v>
      </c>
      <c r="H488" s="4" t="str">
        <f aca="false">_xlfn.TEXTJOIN(CHAR(10),1, Prowler!O488:Q488)</f>
        <v/>
      </c>
      <c r="I488" s="4" t="str">
        <f aca="false">_xlfn.TEXTJOIN(CHAR(10),1, Prowler!R488:W488)</f>
        <v/>
      </c>
      <c r="J488" s="1" t="n">
        <f aca="false">IF(Prowler!K488="critical",10, IF(Prowler!K488="high",7, IF(Prowler!K488="medium",5, 1)))</f>
        <v>1</v>
      </c>
      <c r="M488" s="3" t="n">
        <f aca="false">Prowler!A488</f>
        <v>0</v>
      </c>
      <c r="O488" s="4" t="str">
        <f aca="false">IF(Prowler!N488="", "", _xlfn.CONCAT("[{""key"":""",SUBSTITUTE(SUBSTITUTE(Prowler!N488,"=",""",""value"":""")," | ","""},{""key"":"""),"""}]"))</f>
        <v/>
      </c>
    </row>
    <row r="489" customFormat="false" ht="79.6" hidden="false" customHeight="false" outlineLevel="0" collapsed="false">
      <c r="B489" s="1" t="str">
        <f aca="false">UPPER(Prowler!C489)</f>
        <v/>
      </c>
      <c r="C489" s="1" t="str">
        <f aca="false">IF(Prowler!AL489&lt;&gt;"",Prowler!AL489, _xlfn.CONCAT("arn:aws:ec2:",F489,":",Prowler!AD489,":instance/",Prowler!AK489))</f>
        <v>arn:aws:ec2:::instance/</v>
      </c>
      <c r="F489" s="1" t="n">
        <f aca="false">Prowler!AJ489</f>
        <v>0</v>
      </c>
      <c r="G489" s="1" t="n">
        <f aca="false">Prowler!E489</f>
        <v>0</v>
      </c>
      <c r="H489" s="4" t="str">
        <f aca="false">_xlfn.TEXTJOIN(CHAR(10),1, Prowler!O489:Q489)</f>
        <v/>
      </c>
      <c r="I489" s="4" t="str">
        <f aca="false">_xlfn.TEXTJOIN(CHAR(10),1, Prowler!R489:W489)</f>
        <v/>
      </c>
      <c r="J489" s="1" t="n">
        <f aca="false">IF(Prowler!K489="critical",10, IF(Prowler!K489="high",7, IF(Prowler!K489="medium",5, 1)))</f>
        <v>1</v>
      </c>
      <c r="M489" s="3" t="n">
        <f aca="false">Prowler!A489</f>
        <v>0</v>
      </c>
      <c r="O489" s="4" t="str">
        <f aca="false">IF(Prowler!N489="", "", _xlfn.CONCAT("[{""key"":""",SUBSTITUTE(SUBSTITUTE(Prowler!N489,"=",""",""value"":""")," | ","""},{""key"":"""),"""}]"))</f>
        <v/>
      </c>
    </row>
    <row r="490" customFormat="false" ht="79.6" hidden="false" customHeight="false" outlineLevel="0" collapsed="false">
      <c r="B490" s="1" t="str">
        <f aca="false">UPPER(Prowler!C490)</f>
        <v/>
      </c>
      <c r="C490" s="1" t="str">
        <f aca="false">IF(Prowler!AL490&lt;&gt;"",Prowler!AL490, _xlfn.CONCAT("arn:aws:ec2:",F490,":",Prowler!AD490,":instance/",Prowler!AK490))</f>
        <v>arn:aws:ec2:::instance/</v>
      </c>
      <c r="F490" s="1" t="n">
        <f aca="false">Prowler!AJ490</f>
        <v>0</v>
      </c>
      <c r="G490" s="1" t="n">
        <f aca="false">Prowler!E490</f>
        <v>0</v>
      </c>
      <c r="H490" s="4" t="str">
        <f aca="false">_xlfn.TEXTJOIN(CHAR(10),1, Prowler!O490:Q490)</f>
        <v/>
      </c>
      <c r="I490" s="4" t="str">
        <f aca="false">_xlfn.TEXTJOIN(CHAR(10),1, Prowler!R490:W490)</f>
        <v/>
      </c>
      <c r="J490" s="1" t="n">
        <f aca="false">IF(Prowler!K490="critical",10, IF(Prowler!K490="high",7, IF(Prowler!K490="medium",5, 1)))</f>
        <v>1</v>
      </c>
      <c r="M490" s="3" t="n">
        <f aca="false">Prowler!A490</f>
        <v>0</v>
      </c>
      <c r="O490" s="4" t="str">
        <f aca="false">IF(Prowler!N490="", "", _xlfn.CONCAT("[{""key"":""",SUBSTITUTE(SUBSTITUTE(Prowler!N490,"=",""",""value"":""")," | ","""},{""key"":"""),"""}]"))</f>
        <v/>
      </c>
    </row>
    <row r="491" customFormat="false" ht="79.6" hidden="false" customHeight="false" outlineLevel="0" collapsed="false">
      <c r="B491" s="1" t="str">
        <f aca="false">UPPER(Prowler!C491)</f>
        <v/>
      </c>
      <c r="C491" s="1" t="str">
        <f aca="false">IF(Prowler!AL491&lt;&gt;"",Prowler!AL491, _xlfn.CONCAT("arn:aws:ec2:",F491,":",Prowler!AD491,":instance/",Prowler!AK491))</f>
        <v>arn:aws:ec2:::instance/</v>
      </c>
      <c r="F491" s="1" t="n">
        <f aca="false">Prowler!AJ491</f>
        <v>0</v>
      </c>
      <c r="G491" s="1" t="n">
        <f aca="false">Prowler!E491</f>
        <v>0</v>
      </c>
      <c r="H491" s="4" t="str">
        <f aca="false">_xlfn.TEXTJOIN(CHAR(10),1, Prowler!O491:Q491)</f>
        <v/>
      </c>
      <c r="I491" s="4" t="str">
        <f aca="false">_xlfn.TEXTJOIN(CHAR(10),1, Prowler!R491:W491)</f>
        <v/>
      </c>
      <c r="J491" s="1" t="n">
        <f aca="false">IF(Prowler!K491="critical",10, IF(Prowler!K491="high",7, IF(Prowler!K491="medium",5, 1)))</f>
        <v>1</v>
      </c>
      <c r="M491" s="3" t="n">
        <f aca="false">Prowler!A491</f>
        <v>0</v>
      </c>
      <c r="O491" s="4" t="str">
        <f aca="false">IF(Prowler!N491="", "", _xlfn.CONCAT("[{""key"":""",SUBSTITUTE(SUBSTITUTE(Prowler!N491,"=",""",""value"":""")," | ","""},{""key"":"""),"""}]"))</f>
        <v/>
      </c>
    </row>
    <row r="492" customFormat="false" ht="79.6" hidden="false" customHeight="false" outlineLevel="0" collapsed="false">
      <c r="B492" s="1" t="str">
        <f aca="false">UPPER(Prowler!C492)</f>
        <v/>
      </c>
      <c r="C492" s="1" t="str">
        <f aca="false">IF(Prowler!AL492&lt;&gt;"",Prowler!AL492, _xlfn.CONCAT("arn:aws:ec2:",F492,":",Prowler!AD492,":instance/",Prowler!AK492))</f>
        <v>arn:aws:ec2:::instance/</v>
      </c>
      <c r="F492" s="1" t="n">
        <f aca="false">Prowler!AJ492</f>
        <v>0</v>
      </c>
      <c r="G492" s="1" t="n">
        <f aca="false">Prowler!E492</f>
        <v>0</v>
      </c>
      <c r="H492" s="4" t="str">
        <f aca="false">_xlfn.TEXTJOIN(CHAR(10),1, Prowler!O492:Q492)</f>
        <v/>
      </c>
      <c r="I492" s="4" t="str">
        <f aca="false">_xlfn.TEXTJOIN(CHAR(10),1, Prowler!R492:W492)</f>
        <v/>
      </c>
      <c r="J492" s="1" t="n">
        <f aca="false">IF(Prowler!K492="critical",10, IF(Prowler!K492="high",7, IF(Prowler!K492="medium",5, 1)))</f>
        <v>1</v>
      </c>
      <c r="M492" s="3" t="n">
        <f aca="false">Prowler!A492</f>
        <v>0</v>
      </c>
      <c r="O492" s="4" t="str">
        <f aca="false">IF(Prowler!N492="", "", _xlfn.CONCAT("[{""key"":""",SUBSTITUTE(SUBSTITUTE(Prowler!N492,"=",""",""value"":""")," | ","""},{""key"":"""),"""}]"))</f>
        <v/>
      </c>
    </row>
    <row r="493" customFormat="false" ht="79.6" hidden="false" customHeight="false" outlineLevel="0" collapsed="false">
      <c r="B493" s="1" t="str">
        <f aca="false">UPPER(Prowler!C493)</f>
        <v/>
      </c>
      <c r="C493" s="1" t="str">
        <f aca="false">IF(Prowler!AL493&lt;&gt;"",Prowler!AL493, _xlfn.CONCAT("arn:aws:ec2:",F493,":",Prowler!AD493,":instance/",Prowler!AK493))</f>
        <v>arn:aws:ec2:::instance/</v>
      </c>
      <c r="F493" s="1" t="n">
        <f aca="false">Prowler!AJ493</f>
        <v>0</v>
      </c>
      <c r="G493" s="1" t="n">
        <f aca="false">Prowler!E493</f>
        <v>0</v>
      </c>
      <c r="H493" s="4" t="str">
        <f aca="false">_xlfn.TEXTJOIN(CHAR(10),1, Prowler!O493:Q493)</f>
        <v/>
      </c>
      <c r="I493" s="4" t="str">
        <f aca="false">_xlfn.TEXTJOIN(CHAR(10),1, Prowler!R493:W493)</f>
        <v/>
      </c>
      <c r="J493" s="1" t="n">
        <f aca="false">IF(Prowler!K493="critical",10, IF(Prowler!K493="high",7, IF(Prowler!K493="medium",5, 1)))</f>
        <v>1</v>
      </c>
      <c r="M493" s="3" t="n">
        <f aca="false">Prowler!A493</f>
        <v>0</v>
      </c>
      <c r="O493" s="4" t="str">
        <f aca="false">IF(Prowler!N493="", "", _xlfn.CONCAT("[{""key"":""",SUBSTITUTE(SUBSTITUTE(Prowler!N493,"=",""",""value"":""")," | ","""},{""key"":"""),"""}]"))</f>
        <v/>
      </c>
    </row>
    <row r="494" customFormat="false" ht="79.6" hidden="false" customHeight="false" outlineLevel="0" collapsed="false">
      <c r="B494" s="1" t="str">
        <f aca="false">UPPER(Prowler!C494)</f>
        <v/>
      </c>
      <c r="C494" s="1" t="str">
        <f aca="false">IF(Prowler!AL494&lt;&gt;"",Prowler!AL494, _xlfn.CONCAT("arn:aws:ec2:",F494,":",Prowler!AD494,":instance/",Prowler!AK494))</f>
        <v>arn:aws:ec2:::instance/</v>
      </c>
      <c r="F494" s="1" t="n">
        <f aca="false">Prowler!AJ494</f>
        <v>0</v>
      </c>
      <c r="G494" s="1" t="n">
        <f aca="false">Prowler!E494</f>
        <v>0</v>
      </c>
      <c r="H494" s="4" t="str">
        <f aca="false">_xlfn.TEXTJOIN(CHAR(10),1, Prowler!O494:Q494)</f>
        <v/>
      </c>
      <c r="I494" s="4" t="str">
        <f aca="false">_xlfn.TEXTJOIN(CHAR(10),1, Prowler!R494:W494)</f>
        <v/>
      </c>
      <c r="J494" s="1" t="n">
        <f aca="false">IF(Prowler!K494="critical",10, IF(Prowler!K494="high",7, IF(Prowler!K494="medium",5, 1)))</f>
        <v>1</v>
      </c>
      <c r="M494" s="3" t="n">
        <f aca="false">Prowler!A494</f>
        <v>0</v>
      </c>
      <c r="O494" s="4" t="str">
        <f aca="false">IF(Prowler!N494="", "", _xlfn.CONCAT("[{""key"":""",SUBSTITUTE(SUBSTITUTE(Prowler!N494,"=",""",""value"":""")," | ","""},{""key"":"""),"""}]"))</f>
        <v/>
      </c>
    </row>
    <row r="495" customFormat="false" ht="79.6" hidden="false" customHeight="false" outlineLevel="0" collapsed="false">
      <c r="B495" s="1" t="str">
        <f aca="false">UPPER(Prowler!C495)</f>
        <v/>
      </c>
      <c r="C495" s="1" t="str">
        <f aca="false">IF(Prowler!AL495&lt;&gt;"",Prowler!AL495, _xlfn.CONCAT("arn:aws:ec2:",F495,":",Prowler!AD495,":instance/",Prowler!AK495))</f>
        <v>arn:aws:ec2:::instance/</v>
      </c>
      <c r="F495" s="1" t="n">
        <f aca="false">Prowler!AJ495</f>
        <v>0</v>
      </c>
      <c r="G495" s="1" t="n">
        <f aca="false">Prowler!E495</f>
        <v>0</v>
      </c>
      <c r="H495" s="4" t="str">
        <f aca="false">_xlfn.TEXTJOIN(CHAR(10),1, Prowler!O495:Q495)</f>
        <v/>
      </c>
      <c r="I495" s="4" t="str">
        <f aca="false">_xlfn.TEXTJOIN(CHAR(10),1, Prowler!R495:W495)</f>
        <v/>
      </c>
      <c r="J495" s="1" t="n">
        <f aca="false">IF(Prowler!K495="critical",10, IF(Prowler!K495="high",7, IF(Prowler!K495="medium",5, 1)))</f>
        <v>1</v>
      </c>
      <c r="M495" s="3" t="n">
        <f aca="false">Prowler!A495</f>
        <v>0</v>
      </c>
      <c r="O495" s="4" t="str">
        <f aca="false">IF(Prowler!N495="", "", _xlfn.CONCAT("[{""key"":""",SUBSTITUTE(SUBSTITUTE(Prowler!N495,"=",""",""value"":""")," | ","""},{""key"":"""),"""}]"))</f>
        <v/>
      </c>
    </row>
    <row r="496" customFormat="false" ht="79.6" hidden="false" customHeight="false" outlineLevel="0" collapsed="false">
      <c r="B496" s="1" t="str">
        <f aca="false">UPPER(Prowler!C496)</f>
        <v/>
      </c>
      <c r="C496" s="1" t="str">
        <f aca="false">IF(Prowler!AL496&lt;&gt;"",Prowler!AL496, _xlfn.CONCAT("arn:aws:ec2:",F496,":",Prowler!AD496,":instance/",Prowler!AK496))</f>
        <v>arn:aws:ec2:::instance/</v>
      </c>
      <c r="F496" s="1" t="n">
        <f aca="false">Prowler!AJ496</f>
        <v>0</v>
      </c>
      <c r="G496" s="1" t="n">
        <f aca="false">Prowler!E496</f>
        <v>0</v>
      </c>
      <c r="H496" s="4" t="str">
        <f aca="false">_xlfn.TEXTJOIN(CHAR(10),1, Prowler!O496:Q496)</f>
        <v/>
      </c>
      <c r="I496" s="4" t="str">
        <f aca="false">_xlfn.TEXTJOIN(CHAR(10),1, Prowler!R496:W496)</f>
        <v/>
      </c>
      <c r="J496" s="1" t="n">
        <f aca="false">IF(Prowler!K496="critical",10, IF(Prowler!K496="high",7, IF(Prowler!K496="medium",5, 1)))</f>
        <v>1</v>
      </c>
      <c r="M496" s="3" t="n">
        <f aca="false">Prowler!A496</f>
        <v>0</v>
      </c>
      <c r="O496" s="4" t="str">
        <f aca="false">IF(Prowler!N496="", "", _xlfn.CONCAT("[{""key"":""",SUBSTITUTE(SUBSTITUTE(Prowler!N496,"=",""",""value"":""")," | ","""},{""key"":"""),"""}]"))</f>
        <v/>
      </c>
    </row>
    <row r="497" customFormat="false" ht="79.6" hidden="false" customHeight="false" outlineLevel="0" collapsed="false">
      <c r="B497" s="1" t="str">
        <f aca="false">UPPER(Prowler!C497)</f>
        <v/>
      </c>
      <c r="C497" s="1" t="str">
        <f aca="false">IF(Prowler!AL497&lt;&gt;"",Prowler!AL497, _xlfn.CONCAT("arn:aws:ec2:",F497,":",Prowler!AD497,":instance/",Prowler!AK497))</f>
        <v>arn:aws:ec2:::instance/</v>
      </c>
      <c r="F497" s="1" t="n">
        <f aca="false">Prowler!AJ497</f>
        <v>0</v>
      </c>
      <c r="G497" s="1" t="n">
        <f aca="false">Prowler!E497</f>
        <v>0</v>
      </c>
      <c r="H497" s="4" t="str">
        <f aca="false">_xlfn.TEXTJOIN(CHAR(10),1, Prowler!O497:Q497)</f>
        <v/>
      </c>
      <c r="I497" s="4" t="str">
        <f aca="false">_xlfn.TEXTJOIN(CHAR(10),1, Prowler!R497:W497)</f>
        <v/>
      </c>
      <c r="J497" s="1" t="n">
        <f aca="false">IF(Prowler!K497="critical",10, IF(Prowler!K497="high",7, IF(Prowler!K497="medium",5, 1)))</f>
        <v>1</v>
      </c>
      <c r="M497" s="3" t="n">
        <f aca="false">Prowler!A497</f>
        <v>0</v>
      </c>
      <c r="O497" s="4" t="str">
        <f aca="false">IF(Prowler!N497="", "", _xlfn.CONCAT("[{""key"":""",SUBSTITUTE(SUBSTITUTE(Prowler!N497,"=",""",""value"":""")," | ","""},{""key"":"""),"""}]"))</f>
        <v/>
      </c>
    </row>
    <row r="498" customFormat="false" ht="79.6" hidden="false" customHeight="false" outlineLevel="0" collapsed="false">
      <c r="B498" s="1" t="str">
        <f aca="false">UPPER(Prowler!C498)</f>
        <v/>
      </c>
      <c r="C498" s="1" t="str">
        <f aca="false">IF(Prowler!AL498&lt;&gt;"",Prowler!AL498, _xlfn.CONCAT("arn:aws:ec2:",F498,":",Prowler!AD498,":instance/",Prowler!AK498))</f>
        <v>arn:aws:ec2:::instance/</v>
      </c>
      <c r="F498" s="1" t="n">
        <f aca="false">Prowler!AJ498</f>
        <v>0</v>
      </c>
      <c r="G498" s="1" t="n">
        <f aca="false">Prowler!E498</f>
        <v>0</v>
      </c>
      <c r="H498" s="4" t="str">
        <f aca="false">_xlfn.TEXTJOIN(CHAR(10),1, Prowler!O498:Q498)</f>
        <v/>
      </c>
      <c r="I498" s="4" t="str">
        <f aca="false">_xlfn.TEXTJOIN(CHAR(10),1, Prowler!R498:W498)</f>
        <v/>
      </c>
      <c r="J498" s="1" t="n">
        <f aca="false">IF(Prowler!K498="critical",10, IF(Prowler!K498="high",7, IF(Prowler!K498="medium",5, 1)))</f>
        <v>1</v>
      </c>
      <c r="M498" s="3" t="n">
        <f aca="false">Prowler!A498</f>
        <v>0</v>
      </c>
      <c r="O498" s="4" t="str">
        <f aca="false">IF(Prowler!N498="", "", _xlfn.CONCAT("[{""key"":""",SUBSTITUTE(SUBSTITUTE(Prowler!N498,"=",""",""value"":""")," | ","""},{""key"":"""),"""}]"))</f>
        <v/>
      </c>
    </row>
    <row r="499" customFormat="false" ht="79.6" hidden="false" customHeight="false" outlineLevel="0" collapsed="false">
      <c r="B499" s="1" t="str">
        <f aca="false">UPPER(Prowler!C499)</f>
        <v/>
      </c>
      <c r="C499" s="1" t="str">
        <f aca="false">IF(Prowler!AL499&lt;&gt;"",Prowler!AL499, _xlfn.CONCAT("arn:aws:ec2:",F499,":",Prowler!AD499,":instance/",Prowler!AK499))</f>
        <v>arn:aws:ec2:::instance/</v>
      </c>
      <c r="F499" s="1" t="n">
        <f aca="false">Prowler!AJ499</f>
        <v>0</v>
      </c>
      <c r="G499" s="1" t="n">
        <f aca="false">Prowler!E499</f>
        <v>0</v>
      </c>
      <c r="H499" s="4" t="str">
        <f aca="false">_xlfn.TEXTJOIN(CHAR(10),1, Prowler!O499:Q499)</f>
        <v/>
      </c>
      <c r="I499" s="4" t="str">
        <f aca="false">_xlfn.TEXTJOIN(CHAR(10),1, Prowler!R499:W499)</f>
        <v/>
      </c>
      <c r="J499" s="1" t="n">
        <f aca="false">IF(Prowler!K499="critical",10, IF(Prowler!K499="high",7, IF(Prowler!K499="medium",5, 1)))</f>
        <v>1</v>
      </c>
      <c r="M499" s="3" t="n">
        <f aca="false">Prowler!A499</f>
        <v>0</v>
      </c>
      <c r="O499" s="4" t="str">
        <f aca="false">IF(Prowler!N499="", "", _xlfn.CONCAT("[{""key"":""",SUBSTITUTE(SUBSTITUTE(Prowler!N499,"=",""",""value"":""")," | ","""},{""key"":"""),"""}]"))</f>
        <v/>
      </c>
    </row>
    <row r="500" customFormat="false" ht="79.6" hidden="false" customHeight="false" outlineLevel="0" collapsed="false">
      <c r="B500" s="1" t="str">
        <f aca="false">UPPER(Prowler!C500)</f>
        <v/>
      </c>
      <c r="C500" s="1" t="str">
        <f aca="false">IF(Prowler!AL500&lt;&gt;"",Prowler!AL500, _xlfn.CONCAT("arn:aws:ec2:",F500,":",Prowler!AD500,":instance/",Prowler!AK500))</f>
        <v>arn:aws:ec2:::instance/</v>
      </c>
      <c r="F500" s="1" t="n">
        <f aca="false">Prowler!AJ500</f>
        <v>0</v>
      </c>
      <c r="G500" s="1" t="n">
        <f aca="false">Prowler!E500</f>
        <v>0</v>
      </c>
      <c r="H500" s="4" t="str">
        <f aca="false">_xlfn.TEXTJOIN(CHAR(10),1, Prowler!O500:Q500)</f>
        <v/>
      </c>
      <c r="I500" s="4" t="str">
        <f aca="false">_xlfn.TEXTJOIN(CHAR(10),1, Prowler!R500:W500)</f>
        <v/>
      </c>
      <c r="J500" s="1" t="n">
        <f aca="false">IF(Prowler!K500="critical",10, IF(Prowler!K500="high",7, IF(Prowler!K500="medium",5, 1)))</f>
        <v>1</v>
      </c>
      <c r="M500" s="3" t="n">
        <f aca="false">Prowler!A500</f>
        <v>0</v>
      </c>
      <c r="O500" s="4" t="str">
        <f aca="false">IF(Prowler!N500="", "", _xlfn.CONCAT("[{""key"":""",SUBSTITUTE(SUBSTITUTE(Prowler!N500,"=",""",""value"":""")," | ","""},{""key"":"""),"""}]"))</f>
        <v/>
      </c>
    </row>
    <row r="501" customFormat="false" ht="79.6" hidden="false" customHeight="false" outlineLevel="0" collapsed="false">
      <c r="B501" s="1" t="str">
        <f aca="false">UPPER(Prowler!C501)</f>
        <v/>
      </c>
      <c r="C501" s="1" t="str">
        <f aca="false">IF(Prowler!AL501&lt;&gt;"",Prowler!AL501, _xlfn.CONCAT("arn:aws:ec2:",F501,":",Prowler!AD501,":instance/",Prowler!AK501))</f>
        <v>arn:aws:ec2:::instance/</v>
      </c>
      <c r="F501" s="1" t="n">
        <f aca="false">Prowler!AJ501</f>
        <v>0</v>
      </c>
      <c r="G501" s="1" t="n">
        <f aca="false">Prowler!E501</f>
        <v>0</v>
      </c>
      <c r="H501" s="4" t="str">
        <f aca="false">_xlfn.TEXTJOIN(CHAR(10),1, Prowler!O501:Q501)</f>
        <v/>
      </c>
      <c r="I501" s="4" t="str">
        <f aca="false">_xlfn.TEXTJOIN(CHAR(10),1, Prowler!R501:W501)</f>
        <v/>
      </c>
      <c r="J501" s="1" t="n">
        <f aca="false">IF(Prowler!K501="critical",10, IF(Prowler!K501="high",7, IF(Prowler!K501="medium",5, 1)))</f>
        <v>1</v>
      </c>
      <c r="M501" s="3" t="n">
        <f aca="false">Prowler!A501</f>
        <v>0</v>
      </c>
      <c r="O501" s="4" t="str">
        <f aca="false">IF(Prowler!N501="", "", _xlfn.CONCAT("[{""key"":""",SUBSTITUTE(SUBSTITUTE(Prowler!N501,"=",""",""value"":""")," | ","""},{""key"":"""),"""}]"))</f>
        <v/>
      </c>
    </row>
    <row r="502" customFormat="false" ht="79.6" hidden="false" customHeight="false" outlineLevel="0" collapsed="false">
      <c r="B502" s="1" t="str">
        <f aca="false">UPPER(Prowler!C502)</f>
        <v/>
      </c>
      <c r="C502" s="1" t="str">
        <f aca="false">IF(Prowler!AL502&lt;&gt;"",Prowler!AL502, _xlfn.CONCAT("arn:aws:ec2:",F502,":",Prowler!AD502,":instance/",Prowler!AK502))</f>
        <v>arn:aws:ec2:::instance/</v>
      </c>
      <c r="F502" s="1" t="n">
        <f aca="false">Prowler!AJ502</f>
        <v>0</v>
      </c>
      <c r="G502" s="1" t="n">
        <f aca="false">Prowler!E502</f>
        <v>0</v>
      </c>
      <c r="H502" s="4" t="str">
        <f aca="false">_xlfn.TEXTJOIN(CHAR(10),1, Prowler!O502:Q502)</f>
        <v/>
      </c>
      <c r="I502" s="4" t="str">
        <f aca="false">_xlfn.TEXTJOIN(CHAR(10),1, Prowler!R502:W502)</f>
        <v/>
      </c>
      <c r="J502" s="1" t="n">
        <f aca="false">IF(Prowler!K502="critical",10, IF(Prowler!K502="high",7, IF(Prowler!K502="medium",5, 1)))</f>
        <v>1</v>
      </c>
      <c r="M502" s="3" t="n">
        <f aca="false">Prowler!A502</f>
        <v>0</v>
      </c>
      <c r="O502" s="4" t="str">
        <f aca="false">IF(Prowler!N502="", "", _xlfn.CONCAT("[{""key"":""",SUBSTITUTE(SUBSTITUTE(Prowler!N502,"=",""",""value"":""")," | ","""},{""key"":"""),"""}]"))</f>
        <v/>
      </c>
    </row>
    <row r="503" customFormat="false" ht="79.6" hidden="false" customHeight="false" outlineLevel="0" collapsed="false">
      <c r="B503" s="1" t="str">
        <f aca="false">UPPER(Prowler!C503)</f>
        <v/>
      </c>
      <c r="C503" s="1" t="str">
        <f aca="false">IF(Prowler!AL503&lt;&gt;"",Prowler!AL503, _xlfn.CONCAT("arn:aws:ec2:",F503,":",Prowler!AD503,":instance/",Prowler!AK503))</f>
        <v>arn:aws:ec2:::instance/</v>
      </c>
      <c r="F503" s="1" t="n">
        <f aca="false">Prowler!AJ503</f>
        <v>0</v>
      </c>
      <c r="G503" s="1" t="n">
        <f aca="false">Prowler!E503</f>
        <v>0</v>
      </c>
      <c r="H503" s="4" t="str">
        <f aca="false">_xlfn.TEXTJOIN(CHAR(10),1, Prowler!O503:Q503)</f>
        <v/>
      </c>
      <c r="I503" s="4" t="str">
        <f aca="false">_xlfn.TEXTJOIN(CHAR(10),1, Prowler!R503:W503)</f>
        <v/>
      </c>
      <c r="J503" s="1" t="n">
        <f aca="false">IF(Prowler!K503="critical",10, IF(Prowler!K503="high",7, IF(Prowler!K503="medium",5, 1)))</f>
        <v>1</v>
      </c>
      <c r="M503" s="3" t="n">
        <f aca="false">Prowler!A503</f>
        <v>0</v>
      </c>
      <c r="O503" s="4" t="str">
        <f aca="false">IF(Prowler!N503="", "", _xlfn.CONCAT("[{""key"":""",SUBSTITUTE(SUBSTITUTE(Prowler!N503,"=",""",""value"":""")," | ","""},{""key"":"""),"""}]"))</f>
        <v/>
      </c>
    </row>
    <row r="504" customFormat="false" ht="45.9" hidden="false" customHeight="false" outlineLevel="0" collapsed="false">
      <c r="B504" s="1" t="str">
        <f aca="false">UPPER(Prowler!C504)</f>
        <v/>
      </c>
      <c r="C504" s="1" t="str">
        <f aca="false">IF(Prowler!AL504&lt;&gt;"",Prowler!AL504, _xlfn.CONCAT("arn:aws:ec2:",F504,":",Prowler!AD504,":instance/",Prowler!AK504))</f>
        <v>arn:aws:ec2:::instance/</v>
      </c>
      <c r="F504" s="1" t="n">
        <f aca="false">Prowler!AJ504</f>
        <v>0</v>
      </c>
      <c r="G504" s="1" t="n">
        <f aca="false">Prowler!E504</f>
        <v>0</v>
      </c>
      <c r="H504" s="4" t="str">
        <f aca="false">_xlfn.TEXTJOIN(CHAR(10),1, Prowler!O504:Q504)</f>
        <v/>
      </c>
      <c r="I504" s="4" t="str">
        <f aca="false">_xlfn.TEXTJOIN(CHAR(10),1, Prowler!R504:W504)</f>
        <v/>
      </c>
      <c r="J504" s="1" t="n">
        <f aca="false">IF(Prowler!K504="critical",10, IF(Prowler!K504="high",7, IF(Prowler!K504="medium",5, 1)))</f>
        <v>1</v>
      </c>
      <c r="M504" s="3" t="n">
        <f aca="false">Prowler!A504</f>
        <v>0</v>
      </c>
      <c r="O504" s="4" t="str">
        <f aca="false">IF(Prowler!N504="", "", _xlfn.CONCAT("[{""key"":""",SUBSTITUTE(SUBSTITUTE(Prowler!N504,"=",""",""value"":""")," | ","""},{""key"":"""),"""}]"))</f>
        <v/>
      </c>
    </row>
    <row r="505" customFormat="false" ht="45.9" hidden="false" customHeight="false" outlineLevel="0" collapsed="false">
      <c r="B505" s="1" t="str">
        <f aca="false">UPPER(Prowler!C505)</f>
        <v/>
      </c>
      <c r="C505" s="1" t="str">
        <f aca="false">IF(Prowler!AL505&lt;&gt;"",Prowler!AL505, _xlfn.CONCAT("arn:aws:ec2:",F505,":",Prowler!AD505,":instance/",Prowler!AK505))</f>
        <v>arn:aws:ec2:::instance/</v>
      </c>
      <c r="F505" s="1" t="n">
        <f aca="false">Prowler!AJ505</f>
        <v>0</v>
      </c>
      <c r="G505" s="1" t="n">
        <f aca="false">Prowler!E505</f>
        <v>0</v>
      </c>
      <c r="H505" s="4" t="str">
        <f aca="false">_xlfn.TEXTJOIN(CHAR(10),1, Prowler!O505:Q505)</f>
        <v/>
      </c>
      <c r="I505" s="4" t="str">
        <f aca="false">_xlfn.TEXTJOIN(CHAR(10),1, Prowler!R505:W505)</f>
        <v/>
      </c>
      <c r="J505" s="1" t="n">
        <f aca="false">IF(Prowler!K505="critical",10, IF(Prowler!K505="high",7, IF(Prowler!K505="medium",5, 1)))</f>
        <v>1</v>
      </c>
      <c r="M505" s="3" t="n">
        <f aca="false">Prowler!A505</f>
        <v>0</v>
      </c>
      <c r="O505" s="4" t="str">
        <f aca="false">IF(Prowler!N505="", "", _xlfn.CONCAT("[{""key"":""",SUBSTITUTE(SUBSTITUTE(Prowler!N505,"=",""",""value"":""")," | ","""},{""key"":"""),"""}]"))</f>
        <v/>
      </c>
    </row>
    <row r="506" customFormat="false" ht="68.3" hidden="false" customHeight="false" outlineLevel="0" collapsed="false">
      <c r="B506" s="1" t="str">
        <f aca="false">UPPER(Prowler!C506)</f>
        <v/>
      </c>
      <c r="C506" s="1" t="str">
        <f aca="false">IF(Prowler!AL506&lt;&gt;"",Prowler!AL506, _xlfn.CONCAT("arn:aws:ec2:",F506,":",Prowler!AD506,":instance/",Prowler!AK506))</f>
        <v>arn:aws:ec2:::instance/</v>
      </c>
      <c r="F506" s="1" t="n">
        <f aca="false">Prowler!AJ506</f>
        <v>0</v>
      </c>
      <c r="G506" s="1" t="n">
        <f aca="false">Prowler!E506</f>
        <v>0</v>
      </c>
      <c r="H506" s="4" t="str">
        <f aca="false">_xlfn.TEXTJOIN(CHAR(10),1, Prowler!O506:Q506)</f>
        <v/>
      </c>
      <c r="I506" s="4" t="str">
        <f aca="false">_xlfn.TEXTJOIN(CHAR(10),1, Prowler!R506:W506)</f>
        <v/>
      </c>
      <c r="J506" s="1" t="n">
        <f aca="false">IF(Prowler!K506="critical",10, IF(Prowler!K506="high",7, IF(Prowler!K506="medium",5, 1)))</f>
        <v>1</v>
      </c>
      <c r="M506" s="3" t="n">
        <f aca="false">Prowler!A506</f>
        <v>0</v>
      </c>
      <c r="O506" s="4" t="str">
        <f aca="false">IF(Prowler!N506="", "", _xlfn.CONCAT("[{""key"":""",SUBSTITUTE(SUBSTITUTE(Prowler!N506,"=",""",""value"":""")," | ","""},{""key"":"""),"""}]"))</f>
        <v/>
      </c>
    </row>
    <row r="507" customFormat="false" ht="79.75" hidden="false" customHeight="false" outlineLevel="0" collapsed="false">
      <c r="B507" s="1" t="str">
        <f aca="false">UPPER(Prowler!C507)</f>
        <v/>
      </c>
      <c r="C507" s="1" t="str">
        <f aca="false">IF(Prowler!AL507&lt;&gt;"",Prowler!AL507, _xlfn.CONCAT("arn:aws:ec2:",F507,":",Prowler!AD507,":instance/",Prowler!AK507))</f>
        <v>arn:aws:ec2:::instance/</v>
      </c>
      <c r="F507" s="1" t="n">
        <f aca="false">Prowler!AJ507</f>
        <v>0</v>
      </c>
      <c r="G507" s="1" t="n">
        <f aca="false">Prowler!E507</f>
        <v>0</v>
      </c>
      <c r="H507" s="4" t="str">
        <f aca="false">_xlfn.TEXTJOIN(CHAR(10),1, Prowler!O507:Q507)</f>
        <v/>
      </c>
      <c r="I507" s="4" t="str">
        <f aca="false">_xlfn.TEXTJOIN(CHAR(10),1, Prowler!R507:W507)</f>
        <v/>
      </c>
      <c r="J507" s="1" t="n">
        <f aca="false">IF(Prowler!K507="critical",10, IF(Prowler!K507="high",7, IF(Prowler!K507="medium",5, 1)))</f>
        <v>1</v>
      </c>
      <c r="M507" s="3" t="n">
        <f aca="false">Prowler!A507</f>
        <v>0</v>
      </c>
      <c r="O507" s="4" t="str">
        <f aca="false">IF(Prowler!N507="", "", _xlfn.CONCAT("[{""key"":""",SUBSTITUTE(SUBSTITUTE(Prowler!N507,"=",""",""value"":""")," | ","""},{""key"":"""),"""}]"))</f>
        <v/>
      </c>
    </row>
    <row r="508" customFormat="false" ht="68.3" hidden="false" customHeight="false" outlineLevel="0" collapsed="false">
      <c r="B508" s="1" t="str">
        <f aca="false">UPPER(Prowler!C508)</f>
        <v/>
      </c>
      <c r="C508" s="1" t="str">
        <f aca="false">IF(Prowler!AL508&lt;&gt;"",Prowler!AL508, _xlfn.CONCAT("arn:aws:ec2:",F508,":",Prowler!AD508,":instance/",Prowler!AK508))</f>
        <v>arn:aws:ec2:::instance/</v>
      </c>
      <c r="F508" s="1" t="n">
        <f aca="false">Prowler!AJ508</f>
        <v>0</v>
      </c>
      <c r="G508" s="1" t="n">
        <f aca="false">Prowler!E508</f>
        <v>0</v>
      </c>
      <c r="H508" s="4" t="str">
        <f aca="false">_xlfn.TEXTJOIN(CHAR(10),1, Prowler!O508:Q508)</f>
        <v/>
      </c>
      <c r="I508" s="4" t="str">
        <f aca="false">_xlfn.TEXTJOIN(CHAR(10),1, Prowler!R508:W508)</f>
        <v/>
      </c>
      <c r="J508" s="1" t="n">
        <f aca="false">IF(Prowler!K508="critical",10, IF(Prowler!K508="high",7, IF(Prowler!K508="medium",5, 1)))</f>
        <v>1</v>
      </c>
      <c r="M508" s="3" t="n">
        <f aca="false">Prowler!A508</f>
        <v>0</v>
      </c>
      <c r="O508" s="4" t="str">
        <f aca="false">IF(Prowler!N508="", "", _xlfn.CONCAT("[{""key"":""",SUBSTITUTE(SUBSTITUTE(Prowler!N508,"=",""",""value"":""")," | ","""},{""key"":"""),"""}]"))</f>
        <v/>
      </c>
    </row>
    <row r="509" customFormat="false" ht="57.4" hidden="false" customHeight="false" outlineLevel="0" collapsed="false">
      <c r="B509" s="1" t="str">
        <f aca="false">UPPER(Prowler!C509)</f>
        <v/>
      </c>
      <c r="C509" s="1" t="str">
        <f aca="false">IF(Prowler!AL509&lt;&gt;"",Prowler!AL509, _xlfn.CONCAT("arn:aws:ec2:",F509,":",Prowler!AD509,":instance/",Prowler!AK509))</f>
        <v>arn:aws:ec2:::instance/</v>
      </c>
      <c r="F509" s="1" t="n">
        <f aca="false">Prowler!AJ509</f>
        <v>0</v>
      </c>
      <c r="G509" s="1" t="n">
        <f aca="false">Prowler!E509</f>
        <v>0</v>
      </c>
      <c r="H509" s="4" t="str">
        <f aca="false">_xlfn.TEXTJOIN(CHAR(10),1, Prowler!O509:Q509)</f>
        <v/>
      </c>
      <c r="I509" s="4" t="str">
        <f aca="false">_xlfn.TEXTJOIN(CHAR(10),1, Prowler!R509:W509)</f>
        <v/>
      </c>
      <c r="J509" s="1" t="n">
        <f aca="false">IF(Prowler!K509="critical",10, IF(Prowler!K509="high",7, IF(Prowler!K509="medium",5, 1)))</f>
        <v>1</v>
      </c>
      <c r="M509" s="3" t="n">
        <f aca="false">Prowler!A509</f>
        <v>0</v>
      </c>
      <c r="O509" s="4" t="str">
        <f aca="false">IF(Prowler!N509="", "", _xlfn.CONCAT("[{""key"":""",SUBSTITUTE(SUBSTITUTE(Prowler!N509,"=",""",""value"":""")," | ","""},{""key"":"""),"""}]"))</f>
        <v/>
      </c>
    </row>
    <row r="510" customFormat="false" ht="79.75" hidden="false" customHeight="false" outlineLevel="0" collapsed="false">
      <c r="B510" s="1" t="str">
        <f aca="false">UPPER(Prowler!C510)</f>
        <v/>
      </c>
      <c r="C510" s="1" t="str">
        <f aca="false">IF(Prowler!AL510&lt;&gt;"",Prowler!AL510, _xlfn.CONCAT("arn:aws:ec2:",F510,":",Prowler!AD510,":instance/",Prowler!AK510))</f>
        <v>arn:aws:ec2:::instance/</v>
      </c>
      <c r="F510" s="1" t="n">
        <f aca="false">Prowler!AJ510</f>
        <v>0</v>
      </c>
      <c r="G510" s="1" t="n">
        <f aca="false">Prowler!E510</f>
        <v>0</v>
      </c>
      <c r="H510" s="4" t="str">
        <f aca="false">_xlfn.TEXTJOIN(CHAR(10),1, Prowler!O510:Q510)</f>
        <v/>
      </c>
      <c r="I510" s="4" t="str">
        <f aca="false">_xlfn.TEXTJOIN(CHAR(10),1, Prowler!R510:W510)</f>
        <v/>
      </c>
      <c r="J510" s="1" t="n">
        <f aca="false">IF(Prowler!K510="critical",10, IF(Prowler!K510="high",7, IF(Prowler!K510="medium",5, 1)))</f>
        <v>1</v>
      </c>
      <c r="M510" s="3" t="n">
        <f aca="false">Prowler!A510</f>
        <v>0</v>
      </c>
      <c r="O510" s="4" t="str">
        <f aca="false">IF(Prowler!N510="", "", _xlfn.CONCAT("[{""key"":""",SUBSTITUTE(SUBSTITUTE(Prowler!N510,"=",""",""value"":""")," | ","""},{""key"":"""),"""}]"))</f>
        <v/>
      </c>
    </row>
    <row r="511" customFormat="false" ht="79.75" hidden="false" customHeight="false" outlineLevel="0" collapsed="false">
      <c r="B511" s="1" t="str">
        <f aca="false">UPPER(Prowler!C511)</f>
        <v/>
      </c>
      <c r="C511" s="1" t="str">
        <f aca="false">IF(Prowler!AL511&lt;&gt;"",Prowler!AL511, _xlfn.CONCAT("arn:aws:ec2:",F511,":",Prowler!AD511,":instance/",Prowler!AK511))</f>
        <v>arn:aws:ec2:::instance/</v>
      </c>
      <c r="F511" s="1" t="n">
        <f aca="false">Prowler!AJ511</f>
        <v>0</v>
      </c>
      <c r="G511" s="1" t="n">
        <f aca="false">Prowler!E511</f>
        <v>0</v>
      </c>
      <c r="H511" s="4" t="str">
        <f aca="false">_xlfn.TEXTJOIN(CHAR(10),1, Prowler!O511:Q511)</f>
        <v/>
      </c>
      <c r="I511" s="4" t="str">
        <f aca="false">_xlfn.TEXTJOIN(CHAR(10),1, Prowler!R511:W511)</f>
        <v/>
      </c>
      <c r="J511" s="1" t="n">
        <f aca="false">IF(Prowler!K511="critical",10, IF(Prowler!K511="high",7, IF(Prowler!K511="medium",5, 1)))</f>
        <v>1</v>
      </c>
      <c r="M511" s="3" t="n">
        <f aca="false">Prowler!A511</f>
        <v>0</v>
      </c>
      <c r="O511" s="4" t="str">
        <f aca="false">IF(Prowler!N511="", "", _xlfn.CONCAT("[{""key"":""",SUBSTITUTE(SUBSTITUTE(Prowler!N511,"=",""",""value"":""")," | ","""},{""key"":"""),"""}]"))</f>
        <v/>
      </c>
    </row>
    <row r="512" customFormat="false" ht="79.75" hidden="false" customHeight="false" outlineLevel="0" collapsed="false">
      <c r="B512" s="1" t="str">
        <f aca="false">UPPER(Prowler!C512)</f>
        <v/>
      </c>
      <c r="C512" s="1" t="str">
        <f aca="false">IF(Prowler!AL512&lt;&gt;"",Prowler!AL512, _xlfn.CONCAT("arn:aws:ec2:",F512,":",Prowler!AD512,":instance/",Prowler!AK512))</f>
        <v>arn:aws:ec2:::instance/</v>
      </c>
      <c r="F512" s="1" t="n">
        <f aca="false">Prowler!AJ512</f>
        <v>0</v>
      </c>
      <c r="G512" s="1" t="n">
        <f aca="false">Prowler!E512</f>
        <v>0</v>
      </c>
      <c r="H512" s="4" t="str">
        <f aca="false">_xlfn.TEXTJOIN(CHAR(10),1, Prowler!O512:Q512)</f>
        <v/>
      </c>
      <c r="I512" s="4" t="str">
        <f aca="false">_xlfn.TEXTJOIN(CHAR(10),1, Prowler!R512:W512)</f>
        <v/>
      </c>
      <c r="J512" s="1" t="n">
        <f aca="false">IF(Prowler!K512="critical",10, IF(Prowler!K512="high",7, IF(Prowler!K512="medium",5, 1)))</f>
        <v>1</v>
      </c>
      <c r="M512" s="3" t="n">
        <f aca="false">Prowler!A512</f>
        <v>0</v>
      </c>
      <c r="O512" s="4" t="str">
        <f aca="false">IF(Prowler!N512="", "", _xlfn.CONCAT("[{""key"":""",SUBSTITUTE(SUBSTITUTE(Prowler!N512,"=",""",""value"":""")," | ","""},{""key"":"""),"""}]"))</f>
        <v/>
      </c>
    </row>
    <row r="513" customFormat="false" ht="68.3" hidden="false" customHeight="false" outlineLevel="0" collapsed="false">
      <c r="B513" s="1" t="str">
        <f aca="false">UPPER(Prowler!C513)</f>
        <v/>
      </c>
      <c r="C513" s="1" t="str">
        <f aca="false">IF(Prowler!AL513&lt;&gt;"",Prowler!AL513, _xlfn.CONCAT("arn:aws:ec2:",F513,":",Prowler!AD513,":instance/",Prowler!AK513))</f>
        <v>arn:aws:ec2:::instance/</v>
      </c>
      <c r="F513" s="1" t="n">
        <f aca="false">Prowler!AJ513</f>
        <v>0</v>
      </c>
      <c r="G513" s="1" t="n">
        <f aca="false">Prowler!E513</f>
        <v>0</v>
      </c>
      <c r="H513" s="4" t="str">
        <f aca="false">_xlfn.TEXTJOIN(CHAR(10),1, Prowler!O513:Q513)</f>
        <v/>
      </c>
      <c r="I513" s="4" t="str">
        <f aca="false">_xlfn.TEXTJOIN(CHAR(10),1, Prowler!R513:W513)</f>
        <v/>
      </c>
      <c r="J513" s="1" t="n">
        <f aca="false">IF(Prowler!K513="critical",10, IF(Prowler!K513="high",7, IF(Prowler!K513="medium",5, 1)))</f>
        <v>1</v>
      </c>
      <c r="M513" s="3" t="n">
        <f aca="false">Prowler!A513</f>
        <v>0</v>
      </c>
      <c r="O513" s="4" t="str">
        <f aca="false">IF(Prowler!N513="", "", _xlfn.CONCAT("[{""key"":""",SUBSTITUTE(SUBSTITUTE(Prowler!N513,"=",""",""value"":""")," | ","""},{""key"":"""),"""}]"))</f>
        <v/>
      </c>
    </row>
    <row r="514" customFormat="false" ht="57.4" hidden="false" customHeight="false" outlineLevel="0" collapsed="false">
      <c r="B514" s="1" t="str">
        <f aca="false">UPPER(Prowler!C514)</f>
        <v/>
      </c>
      <c r="C514" s="1" t="str">
        <f aca="false">IF(Prowler!AL514&lt;&gt;"",Prowler!AL514, _xlfn.CONCAT("arn:aws:ec2:",F514,":",Prowler!AD514,":instance/",Prowler!AK514))</f>
        <v>arn:aws:ec2:::instance/</v>
      </c>
      <c r="F514" s="1" t="n">
        <f aca="false">Prowler!AJ514</f>
        <v>0</v>
      </c>
      <c r="G514" s="1" t="n">
        <f aca="false">Prowler!E514</f>
        <v>0</v>
      </c>
      <c r="H514" s="4" t="str">
        <f aca="false">_xlfn.TEXTJOIN(CHAR(10),1, Prowler!O514:Q514)</f>
        <v/>
      </c>
      <c r="I514" s="4" t="str">
        <f aca="false">_xlfn.TEXTJOIN(CHAR(10),1, Prowler!R514:W514)</f>
        <v/>
      </c>
      <c r="J514" s="1" t="n">
        <f aca="false">IF(Prowler!K514="critical",10, IF(Prowler!K514="high",7, IF(Prowler!K514="medium",5, 1)))</f>
        <v>1</v>
      </c>
      <c r="M514" s="3" t="n">
        <f aca="false">Prowler!A514</f>
        <v>0</v>
      </c>
      <c r="O514" s="4" t="str">
        <f aca="false">IF(Prowler!N514="", "", _xlfn.CONCAT("[{""key"":""",SUBSTITUTE(SUBSTITUTE(Prowler!N514,"=",""",""value"":""")," | ","""},{""key"":"""),"""}]"))</f>
        <v/>
      </c>
    </row>
    <row r="515" customFormat="false" ht="57.4" hidden="false" customHeight="false" outlineLevel="0" collapsed="false">
      <c r="B515" s="1" t="str">
        <f aca="false">UPPER(Prowler!C515)</f>
        <v/>
      </c>
      <c r="C515" s="1" t="str">
        <f aca="false">IF(Prowler!AL515&lt;&gt;"",Prowler!AL515, _xlfn.CONCAT("arn:aws:ec2:",F515,":",Prowler!AD515,":instance/",Prowler!AK515))</f>
        <v>arn:aws:ec2:::instance/</v>
      </c>
      <c r="F515" s="1" t="n">
        <f aca="false">Prowler!AJ515</f>
        <v>0</v>
      </c>
      <c r="G515" s="1" t="n">
        <f aca="false">Prowler!E515</f>
        <v>0</v>
      </c>
      <c r="H515" s="4" t="str">
        <f aca="false">_xlfn.TEXTJOIN(CHAR(10),1, Prowler!O515:Q515)</f>
        <v/>
      </c>
      <c r="I515" s="4" t="str">
        <f aca="false">_xlfn.TEXTJOIN(CHAR(10),1, Prowler!R515:W515)</f>
        <v/>
      </c>
      <c r="J515" s="1" t="n">
        <f aca="false">IF(Prowler!K515="critical",10, IF(Prowler!K515="high",7, IF(Prowler!K515="medium",5, 1)))</f>
        <v>1</v>
      </c>
      <c r="M515" s="3" t="n">
        <f aca="false">Prowler!A515</f>
        <v>0</v>
      </c>
      <c r="O515" s="4" t="str">
        <f aca="false">IF(Prowler!N515="", "", _xlfn.CONCAT("[{""key"":""",SUBSTITUTE(SUBSTITUTE(Prowler!N515,"=",""",""value"":""")," | ","""},{""key"":"""),"""}]"))</f>
        <v/>
      </c>
    </row>
    <row r="516" customFormat="false" ht="57.4" hidden="false" customHeight="false" outlineLevel="0" collapsed="false">
      <c r="B516" s="1" t="str">
        <f aca="false">UPPER(Prowler!C516)</f>
        <v/>
      </c>
      <c r="C516" s="1" t="str">
        <f aca="false">IF(Prowler!AL516&lt;&gt;"",Prowler!AL516, _xlfn.CONCAT("arn:aws:ec2:",F516,":",Prowler!AD516,":instance/",Prowler!AK516))</f>
        <v>arn:aws:ec2:::instance/</v>
      </c>
      <c r="F516" s="1" t="n">
        <f aca="false">Prowler!AJ516</f>
        <v>0</v>
      </c>
      <c r="G516" s="1" t="n">
        <f aca="false">Prowler!E516</f>
        <v>0</v>
      </c>
      <c r="H516" s="4" t="str">
        <f aca="false">_xlfn.TEXTJOIN(CHAR(10),1, Prowler!O516:Q516)</f>
        <v/>
      </c>
      <c r="I516" s="4" t="str">
        <f aca="false">_xlfn.TEXTJOIN(CHAR(10),1, Prowler!R516:W516)</f>
        <v/>
      </c>
      <c r="J516" s="1" t="n">
        <f aca="false">IF(Prowler!K516="critical",10, IF(Prowler!K516="high",7, IF(Prowler!K516="medium",5, 1)))</f>
        <v>1</v>
      </c>
      <c r="M516" s="3" t="n">
        <f aca="false">Prowler!A516</f>
        <v>0</v>
      </c>
      <c r="O516" s="4" t="str">
        <f aca="false">IF(Prowler!N516="", "", _xlfn.CONCAT("[{""key"":""",SUBSTITUTE(SUBSTITUTE(Prowler!N516,"=",""",""value"":""")," | ","""},{""key"":"""),"""}]"))</f>
        <v/>
      </c>
    </row>
    <row r="517" customFormat="false" ht="68.3" hidden="false" customHeight="false" outlineLevel="0" collapsed="false">
      <c r="B517" s="1" t="str">
        <f aca="false">UPPER(Prowler!C517)</f>
        <v/>
      </c>
      <c r="C517" s="1" t="str">
        <f aca="false">IF(Prowler!AL517&lt;&gt;"",Prowler!AL517, _xlfn.CONCAT("arn:aws:ec2:",F517,":",Prowler!AD517,":instance/",Prowler!AK517))</f>
        <v>arn:aws:ec2:::instance/</v>
      </c>
      <c r="F517" s="1" t="n">
        <f aca="false">Prowler!AJ517</f>
        <v>0</v>
      </c>
      <c r="G517" s="1" t="n">
        <f aca="false">Prowler!E517</f>
        <v>0</v>
      </c>
      <c r="H517" s="4" t="str">
        <f aca="false">_xlfn.TEXTJOIN(CHAR(10),1, Prowler!O517:Q517)</f>
        <v/>
      </c>
      <c r="I517" s="4" t="str">
        <f aca="false">_xlfn.TEXTJOIN(CHAR(10),1, Prowler!R517:W517)</f>
        <v/>
      </c>
      <c r="J517" s="1" t="n">
        <f aca="false">IF(Prowler!K517="critical",10, IF(Prowler!K517="high",7, IF(Prowler!K517="medium",5, 1)))</f>
        <v>1</v>
      </c>
      <c r="M517" s="3" t="n">
        <f aca="false">Prowler!A517</f>
        <v>0</v>
      </c>
      <c r="O517" s="4" t="str">
        <f aca="false">IF(Prowler!N517="", "", _xlfn.CONCAT("[{""key"":""",SUBSTITUTE(SUBSTITUTE(Prowler!N517,"=",""",""value"":""")," | ","""},{""key"":"""),"""}]"))</f>
        <v/>
      </c>
    </row>
    <row r="518" customFormat="false" ht="57.4" hidden="false" customHeight="false" outlineLevel="0" collapsed="false">
      <c r="B518" s="1" t="str">
        <f aca="false">UPPER(Prowler!C518)</f>
        <v/>
      </c>
      <c r="C518" s="1" t="str">
        <f aca="false">IF(Prowler!AL518&lt;&gt;"",Prowler!AL518, _xlfn.CONCAT("arn:aws:ec2:",F518,":",Prowler!AD518,":instance/",Prowler!AK518))</f>
        <v>arn:aws:ec2:::instance/</v>
      </c>
      <c r="F518" s="1" t="n">
        <f aca="false">Prowler!AJ518</f>
        <v>0</v>
      </c>
      <c r="G518" s="1" t="n">
        <f aca="false">Prowler!E518</f>
        <v>0</v>
      </c>
      <c r="H518" s="4" t="str">
        <f aca="false">_xlfn.TEXTJOIN(CHAR(10),1, Prowler!O518:Q518)</f>
        <v/>
      </c>
      <c r="I518" s="4" t="str">
        <f aca="false">_xlfn.TEXTJOIN(CHAR(10),1, Prowler!R518:W518)</f>
        <v/>
      </c>
      <c r="J518" s="1" t="n">
        <f aca="false">IF(Prowler!K518="critical",10, IF(Prowler!K518="high",7, IF(Prowler!K518="medium",5, 1)))</f>
        <v>1</v>
      </c>
      <c r="M518" s="3" t="n">
        <f aca="false">Prowler!A518</f>
        <v>0</v>
      </c>
      <c r="O518" s="4" t="str">
        <f aca="false">IF(Prowler!N518="", "", _xlfn.CONCAT("[{""key"":""",SUBSTITUTE(SUBSTITUTE(Prowler!N518,"=",""",""value"":""")," | ","""},{""key"":"""),"""}]"))</f>
        <v/>
      </c>
    </row>
    <row r="519" customFormat="false" ht="68.3" hidden="false" customHeight="false" outlineLevel="0" collapsed="false">
      <c r="B519" s="1" t="str">
        <f aca="false">UPPER(Prowler!C519)</f>
        <v/>
      </c>
      <c r="C519" s="1" t="str">
        <f aca="false">IF(Prowler!AL519&lt;&gt;"",Prowler!AL519, _xlfn.CONCAT("arn:aws:ec2:",F519,":",Prowler!AD519,":instance/",Prowler!AK519))</f>
        <v>arn:aws:ec2:::instance/</v>
      </c>
      <c r="F519" s="1" t="n">
        <f aca="false">Prowler!AJ519</f>
        <v>0</v>
      </c>
      <c r="G519" s="1" t="n">
        <f aca="false">Prowler!E519</f>
        <v>0</v>
      </c>
      <c r="H519" s="4" t="str">
        <f aca="false">_xlfn.TEXTJOIN(CHAR(10),1, Prowler!O519:Q519)</f>
        <v/>
      </c>
      <c r="I519" s="4" t="str">
        <f aca="false">_xlfn.TEXTJOIN(CHAR(10),1, Prowler!R519:W519)</f>
        <v/>
      </c>
      <c r="J519" s="1" t="n">
        <f aca="false">IF(Prowler!K519="critical",10, IF(Prowler!K519="high",7, IF(Prowler!K519="medium",5, 1)))</f>
        <v>1</v>
      </c>
      <c r="M519" s="3" t="n">
        <f aca="false">Prowler!A519</f>
        <v>0</v>
      </c>
      <c r="O519" s="4" t="str">
        <f aca="false">IF(Prowler!N519="", "", _xlfn.CONCAT("[{""key"":""",SUBSTITUTE(SUBSTITUTE(Prowler!N519,"=",""",""value"":""")," | ","""},{""key"":"""),"""}]"))</f>
        <v/>
      </c>
    </row>
    <row r="520" customFormat="false" ht="79.75" hidden="false" customHeight="false" outlineLevel="0" collapsed="false">
      <c r="B520" s="1" t="str">
        <f aca="false">UPPER(Prowler!C520)</f>
        <v/>
      </c>
      <c r="C520" s="1" t="str">
        <f aca="false">IF(Prowler!AL520&lt;&gt;"",Prowler!AL520, _xlfn.CONCAT("arn:aws:ec2:",F520,":",Prowler!AD520,":instance/",Prowler!AK520))</f>
        <v>arn:aws:ec2:::instance/</v>
      </c>
      <c r="F520" s="1" t="n">
        <f aca="false">Prowler!AJ520</f>
        <v>0</v>
      </c>
      <c r="G520" s="1" t="n">
        <f aca="false">Prowler!E520</f>
        <v>0</v>
      </c>
      <c r="H520" s="4" t="str">
        <f aca="false">_xlfn.TEXTJOIN(CHAR(10),1, Prowler!O520:Q520)</f>
        <v/>
      </c>
      <c r="I520" s="4" t="str">
        <f aca="false">_xlfn.TEXTJOIN(CHAR(10),1, Prowler!R520:W520)</f>
        <v/>
      </c>
      <c r="J520" s="1" t="n">
        <f aca="false">IF(Prowler!K520="critical",10, IF(Prowler!K520="high",7, IF(Prowler!K520="medium",5, 1)))</f>
        <v>1</v>
      </c>
      <c r="M520" s="3" t="n">
        <f aca="false">Prowler!A520</f>
        <v>0</v>
      </c>
      <c r="O520" s="4" t="str">
        <f aca="false">IF(Prowler!N520="", "", _xlfn.CONCAT("[{""key"":""",SUBSTITUTE(SUBSTITUTE(Prowler!N520,"=",""",""value"":""")," | ","""},{""key"":"""),"""}]"))</f>
        <v/>
      </c>
    </row>
    <row r="521" customFormat="false" ht="79.75" hidden="false" customHeight="false" outlineLevel="0" collapsed="false">
      <c r="B521" s="1" t="str">
        <f aca="false">UPPER(Prowler!C521)</f>
        <v/>
      </c>
      <c r="C521" s="1" t="str">
        <f aca="false">IF(Prowler!AL521&lt;&gt;"",Prowler!AL521, _xlfn.CONCAT("arn:aws:ec2:",F521,":",Prowler!AD521,":instance/",Prowler!AK521))</f>
        <v>arn:aws:ec2:::instance/</v>
      </c>
      <c r="F521" s="1" t="n">
        <f aca="false">Prowler!AJ521</f>
        <v>0</v>
      </c>
      <c r="G521" s="1" t="n">
        <f aca="false">Prowler!E521</f>
        <v>0</v>
      </c>
      <c r="H521" s="4" t="str">
        <f aca="false">_xlfn.TEXTJOIN(CHAR(10),1, Prowler!O521:Q521)</f>
        <v/>
      </c>
      <c r="I521" s="4" t="str">
        <f aca="false">_xlfn.TEXTJOIN(CHAR(10),1, Prowler!R521:W521)</f>
        <v/>
      </c>
      <c r="J521" s="1" t="n">
        <f aca="false">IF(Prowler!K521="critical",10, IF(Prowler!K521="high",7, IF(Prowler!K521="medium",5, 1)))</f>
        <v>1</v>
      </c>
      <c r="M521" s="3" t="n">
        <f aca="false">Prowler!A521</f>
        <v>0</v>
      </c>
      <c r="O521" s="4" t="str">
        <f aca="false">IF(Prowler!N521="", "", _xlfn.CONCAT("[{""key"":""",SUBSTITUTE(SUBSTITUTE(Prowler!N521,"=",""",""value"":""")," | ","""},{""key"":"""),"""}]"))</f>
        <v/>
      </c>
    </row>
    <row r="522" customFormat="false" ht="90.7" hidden="false" customHeight="false" outlineLevel="0" collapsed="false">
      <c r="B522" s="1" t="str">
        <f aca="false">UPPER(Prowler!C522)</f>
        <v/>
      </c>
      <c r="C522" s="1" t="str">
        <f aca="false">IF(Prowler!AL522&lt;&gt;"",Prowler!AL522, _xlfn.CONCAT("arn:aws:ec2:",F522,":",Prowler!AD522,":instance/",Prowler!AK522))</f>
        <v>arn:aws:ec2:::instance/</v>
      </c>
      <c r="F522" s="1" t="n">
        <f aca="false">Prowler!AJ522</f>
        <v>0</v>
      </c>
      <c r="G522" s="1" t="n">
        <f aca="false">Prowler!E522</f>
        <v>0</v>
      </c>
      <c r="H522" s="4" t="str">
        <f aca="false">_xlfn.TEXTJOIN(CHAR(10),1, Prowler!O522:Q522)</f>
        <v/>
      </c>
      <c r="I522" s="4" t="str">
        <f aca="false">_xlfn.TEXTJOIN(CHAR(10),1, Prowler!R522:W522)</f>
        <v/>
      </c>
      <c r="J522" s="1" t="n">
        <f aca="false">IF(Prowler!K522="critical",10, IF(Prowler!K522="high",7, IF(Prowler!K522="medium",5, 1)))</f>
        <v>1</v>
      </c>
      <c r="M522" s="3" t="n">
        <f aca="false">Prowler!A522</f>
        <v>0</v>
      </c>
      <c r="O522" s="4" t="str">
        <f aca="false">IF(Prowler!N522="", "", _xlfn.CONCAT("[{""key"":""",SUBSTITUTE(SUBSTITUTE(Prowler!N522,"=",""",""value"":""")," | ","""},{""key"":"""),"""}]"))</f>
        <v/>
      </c>
    </row>
    <row r="523" customFormat="false" ht="79.75" hidden="false" customHeight="false" outlineLevel="0" collapsed="false">
      <c r="B523" s="1" t="str">
        <f aca="false">UPPER(Prowler!C523)</f>
        <v/>
      </c>
      <c r="C523" s="1" t="str">
        <f aca="false">IF(Prowler!AL523&lt;&gt;"",Prowler!AL523, _xlfn.CONCAT("arn:aws:ec2:",F523,":",Prowler!AD523,":instance/",Prowler!AK523))</f>
        <v>arn:aws:ec2:::instance/</v>
      </c>
      <c r="F523" s="1" t="n">
        <f aca="false">Prowler!AJ523</f>
        <v>0</v>
      </c>
      <c r="G523" s="1" t="n">
        <f aca="false">Prowler!E523</f>
        <v>0</v>
      </c>
      <c r="H523" s="4" t="str">
        <f aca="false">_xlfn.TEXTJOIN(CHAR(10),1, Prowler!O523:Q523)</f>
        <v/>
      </c>
      <c r="I523" s="4" t="str">
        <f aca="false">_xlfn.TEXTJOIN(CHAR(10),1, Prowler!R523:W523)</f>
        <v/>
      </c>
      <c r="J523" s="1" t="n">
        <f aca="false">IF(Prowler!K523="critical",10, IF(Prowler!K523="high",7, IF(Prowler!K523="medium",5, 1)))</f>
        <v>1</v>
      </c>
      <c r="M523" s="3" t="n">
        <f aca="false">Prowler!A523</f>
        <v>0</v>
      </c>
      <c r="O523" s="4" t="str">
        <f aca="false">IF(Prowler!N523="", "", _xlfn.CONCAT("[{""key"":""",SUBSTITUTE(SUBSTITUTE(Prowler!N523,"=",""",""value"":""")," | ","""},{""key"":"""),"""}]"))</f>
        <v/>
      </c>
    </row>
    <row r="524" customFormat="false" ht="79.75" hidden="false" customHeight="false" outlineLevel="0" collapsed="false">
      <c r="B524" s="1" t="str">
        <f aca="false">UPPER(Prowler!C524)</f>
        <v/>
      </c>
      <c r="C524" s="1" t="str">
        <f aca="false">IF(Prowler!AL524&lt;&gt;"",Prowler!AL524, _xlfn.CONCAT("arn:aws:ec2:",F524,":",Prowler!AD524,":instance/",Prowler!AK524))</f>
        <v>arn:aws:ec2:::instance/</v>
      </c>
      <c r="F524" s="1" t="n">
        <f aca="false">Prowler!AJ524</f>
        <v>0</v>
      </c>
      <c r="G524" s="1" t="n">
        <f aca="false">Prowler!E524</f>
        <v>0</v>
      </c>
      <c r="H524" s="4" t="str">
        <f aca="false">_xlfn.TEXTJOIN(CHAR(10),1, Prowler!O524:Q524)</f>
        <v/>
      </c>
      <c r="I524" s="4" t="str">
        <f aca="false">_xlfn.TEXTJOIN(CHAR(10),1, Prowler!R524:W524)</f>
        <v/>
      </c>
      <c r="J524" s="1" t="n">
        <f aca="false">IF(Prowler!K524="critical",10, IF(Prowler!K524="high",7, IF(Prowler!K524="medium",5, 1)))</f>
        <v>1</v>
      </c>
      <c r="M524" s="3" t="n">
        <f aca="false">Prowler!A524</f>
        <v>0</v>
      </c>
      <c r="O524" s="4" t="str">
        <f aca="false">IF(Prowler!N524="", "", _xlfn.CONCAT("[{""key"":""",SUBSTITUTE(SUBSTITUTE(Prowler!N524,"=",""",""value"":""")," | ","""},{""key"":"""),"""}]"))</f>
        <v/>
      </c>
    </row>
    <row r="525" customFormat="false" ht="79.75" hidden="false" customHeight="false" outlineLevel="0" collapsed="false">
      <c r="B525" s="1" t="str">
        <f aca="false">UPPER(Prowler!C525)</f>
        <v/>
      </c>
      <c r="C525" s="1" t="str">
        <f aca="false">IF(Prowler!AL525&lt;&gt;"",Prowler!AL525, _xlfn.CONCAT("arn:aws:ec2:",F525,":",Prowler!AD525,":instance/",Prowler!AK525))</f>
        <v>arn:aws:ec2:::instance/</v>
      </c>
      <c r="F525" s="1" t="n">
        <f aca="false">Prowler!AJ525</f>
        <v>0</v>
      </c>
      <c r="G525" s="1" t="n">
        <f aca="false">Prowler!E525</f>
        <v>0</v>
      </c>
      <c r="H525" s="4" t="str">
        <f aca="false">_xlfn.TEXTJOIN(CHAR(10),1, Prowler!O525:Q525)</f>
        <v/>
      </c>
      <c r="I525" s="4" t="str">
        <f aca="false">_xlfn.TEXTJOIN(CHAR(10),1, Prowler!R525:W525)</f>
        <v/>
      </c>
      <c r="J525" s="1" t="n">
        <f aca="false">IF(Prowler!K525="critical",10, IF(Prowler!K525="high",7, IF(Prowler!K525="medium",5, 1)))</f>
        <v>1</v>
      </c>
      <c r="M525" s="3" t="n">
        <f aca="false">Prowler!A525</f>
        <v>0</v>
      </c>
      <c r="O525" s="4" t="str">
        <f aca="false">IF(Prowler!N525="", "", _xlfn.CONCAT("[{""key"":""",SUBSTITUTE(SUBSTITUTE(Prowler!N525,"=",""",""value"":""")," | ","""},{""key"":"""),"""}]"))</f>
        <v/>
      </c>
    </row>
    <row r="526" customFormat="false" ht="79.75" hidden="false" customHeight="false" outlineLevel="0" collapsed="false">
      <c r="B526" s="1" t="str">
        <f aca="false">UPPER(Prowler!C526)</f>
        <v/>
      </c>
      <c r="C526" s="1" t="str">
        <f aca="false">IF(Prowler!AL526&lt;&gt;"",Prowler!AL526, _xlfn.CONCAT("arn:aws:ec2:",F526,":",Prowler!AD526,":instance/",Prowler!AK526))</f>
        <v>arn:aws:ec2:::instance/</v>
      </c>
      <c r="F526" s="1" t="n">
        <f aca="false">Prowler!AJ526</f>
        <v>0</v>
      </c>
      <c r="G526" s="1" t="n">
        <f aca="false">Prowler!E526</f>
        <v>0</v>
      </c>
      <c r="H526" s="4" t="str">
        <f aca="false">_xlfn.TEXTJOIN(CHAR(10),1, Prowler!O526:Q526)</f>
        <v/>
      </c>
      <c r="I526" s="4" t="str">
        <f aca="false">_xlfn.TEXTJOIN(CHAR(10),1, Prowler!R526:W526)</f>
        <v/>
      </c>
      <c r="J526" s="1" t="n">
        <f aca="false">IF(Prowler!K526="critical",10, IF(Prowler!K526="high",7, IF(Prowler!K526="medium",5, 1)))</f>
        <v>1</v>
      </c>
      <c r="M526" s="3" t="n">
        <f aca="false">Prowler!A526</f>
        <v>0</v>
      </c>
      <c r="O526" s="4" t="str">
        <f aca="false">IF(Prowler!N526="", "", _xlfn.CONCAT("[{""key"":""",SUBSTITUTE(SUBSTITUTE(Prowler!N526,"=",""",""value"":""")," | ","""},{""key"":"""),"""}]"))</f>
        <v/>
      </c>
    </row>
    <row r="527" customFormat="false" ht="68.3" hidden="false" customHeight="false" outlineLevel="0" collapsed="false">
      <c r="B527" s="1" t="str">
        <f aca="false">UPPER(Prowler!C527)</f>
        <v/>
      </c>
      <c r="C527" s="1" t="str">
        <f aca="false">IF(Prowler!AL527&lt;&gt;"",Prowler!AL527, _xlfn.CONCAT("arn:aws:ec2:",F527,":",Prowler!AD527,":instance/",Prowler!AK527))</f>
        <v>arn:aws:ec2:::instance/</v>
      </c>
      <c r="F527" s="1" t="n">
        <f aca="false">Prowler!AJ527</f>
        <v>0</v>
      </c>
      <c r="G527" s="1" t="n">
        <f aca="false">Prowler!E527</f>
        <v>0</v>
      </c>
      <c r="H527" s="4" t="str">
        <f aca="false">_xlfn.TEXTJOIN(CHAR(10),1, Prowler!O527:Q527)</f>
        <v/>
      </c>
      <c r="I527" s="4" t="str">
        <f aca="false">_xlfn.TEXTJOIN(CHAR(10),1, Prowler!R527:W527)</f>
        <v/>
      </c>
      <c r="J527" s="1" t="n">
        <f aca="false">IF(Prowler!K527="critical",10, IF(Prowler!K527="high",7, IF(Prowler!K527="medium",5, 1)))</f>
        <v>1</v>
      </c>
      <c r="M527" s="3" t="n">
        <f aca="false">Prowler!A527</f>
        <v>0</v>
      </c>
      <c r="O527" s="4" t="str">
        <f aca="false">IF(Prowler!N527="", "", _xlfn.CONCAT("[{""key"":""",SUBSTITUTE(SUBSTITUTE(Prowler!N527,"=",""",""value"":""")," | ","""},{""key"":"""),"""}]"))</f>
        <v/>
      </c>
    </row>
    <row r="528" customFormat="false" ht="79.75" hidden="false" customHeight="false" outlineLevel="0" collapsed="false">
      <c r="B528" s="1" t="str">
        <f aca="false">UPPER(Prowler!C528)</f>
        <v/>
      </c>
      <c r="C528" s="1" t="str">
        <f aca="false">IF(Prowler!AL528&lt;&gt;"",Prowler!AL528, _xlfn.CONCAT("arn:aws:ec2:",F528,":",Prowler!AD528,":instance/",Prowler!AK528))</f>
        <v>arn:aws:ec2:::instance/</v>
      </c>
      <c r="F528" s="1" t="n">
        <f aca="false">Prowler!AJ528</f>
        <v>0</v>
      </c>
      <c r="G528" s="1" t="n">
        <f aca="false">Prowler!E528</f>
        <v>0</v>
      </c>
      <c r="H528" s="4" t="str">
        <f aca="false">_xlfn.TEXTJOIN(CHAR(10),1, Prowler!O528:Q528)</f>
        <v/>
      </c>
      <c r="I528" s="4" t="str">
        <f aca="false">_xlfn.TEXTJOIN(CHAR(10),1, Prowler!R528:W528)</f>
        <v/>
      </c>
      <c r="J528" s="1" t="n">
        <f aca="false">IF(Prowler!K528="critical",10, IF(Prowler!K528="high",7, IF(Prowler!K528="medium",5, 1)))</f>
        <v>1</v>
      </c>
      <c r="M528" s="3" t="n">
        <f aca="false">Prowler!A528</f>
        <v>0</v>
      </c>
      <c r="O528" s="4" t="str">
        <f aca="false">IF(Prowler!N528="", "", _xlfn.CONCAT("[{""key"":""",SUBSTITUTE(SUBSTITUTE(Prowler!N528,"=",""",""value"":""")," | ","""},{""key"":"""),"""}]"))</f>
        <v/>
      </c>
    </row>
    <row r="529" customFormat="false" ht="68.3" hidden="false" customHeight="false" outlineLevel="0" collapsed="false">
      <c r="B529" s="1" t="str">
        <f aca="false">UPPER(Prowler!C529)</f>
        <v/>
      </c>
      <c r="C529" s="1" t="str">
        <f aca="false">IF(Prowler!AL529&lt;&gt;"",Prowler!AL529, _xlfn.CONCAT("arn:aws:ec2:",F529,":",Prowler!AD529,":instance/",Prowler!AK529))</f>
        <v>arn:aws:ec2:::instance/</v>
      </c>
      <c r="F529" s="1" t="n">
        <f aca="false">Prowler!AJ529</f>
        <v>0</v>
      </c>
      <c r="G529" s="1" t="n">
        <f aca="false">Prowler!E529</f>
        <v>0</v>
      </c>
      <c r="H529" s="4" t="str">
        <f aca="false">_xlfn.TEXTJOIN(CHAR(10),1, Prowler!O529:Q529)</f>
        <v/>
      </c>
      <c r="I529" s="4" t="str">
        <f aca="false">_xlfn.TEXTJOIN(CHAR(10),1, Prowler!R529:W529)</f>
        <v/>
      </c>
      <c r="J529" s="1" t="n">
        <f aca="false">IF(Prowler!K529="critical",10, IF(Prowler!K529="high",7, IF(Prowler!K529="medium",5, 1)))</f>
        <v>1</v>
      </c>
      <c r="M529" s="3" t="n">
        <f aca="false">Prowler!A529</f>
        <v>0</v>
      </c>
      <c r="O529" s="4" t="str">
        <f aca="false">IF(Prowler!N529="", "", _xlfn.CONCAT("[{""key"":""",SUBSTITUTE(SUBSTITUTE(Prowler!N529,"=",""",""value"":""")," | ","""},{""key"":"""),"""}]"))</f>
        <v/>
      </c>
    </row>
    <row r="530" customFormat="false" ht="79.75" hidden="false" customHeight="false" outlineLevel="0" collapsed="false">
      <c r="B530" s="1" t="str">
        <f aca="false">UPPER(Prowler!C530)</f>
        <v/>
      </c>
      <c r="C530" s="1" t="str">
        <f aca="false">IF(Prowler!AL530&lt;&gt;"",Prowler!AL530, _xlfn.CONCAT("arn:aws:ec2:",F530,":",Prowler!AD530,":instance/",Prowler!AK530))</f>
        <v>arn:aws:ec2:::instance/</v>
      </c>
      <c r="F530" s="1" t="n">
        <f aca="false">Prowler!AJ530</f>
        <v>0</v>
      </c>
      <c r="G530" s="1" t="n">
        <f aca="false">Prowler!E530</f>
        <v>0</v>
      </c>
      <c r="H530" s="4" t="str">
        <f aca="false">_xlfn.TEXTJOIN(CHAR(10),1, Prowler!O530:Q530)</f>
        <v/>
      </c>
      <c r="I530" s="4" t="str">
        <f aca="false">_xlfn.TEXTJOIN(CHAR(10),1, Prowler!R530:W530)</f>
        <v/>
      </c>
      <c r="J530" s="1" t="n">
        <f aca="false">IF(Prowler!K530="critical",10, IF(Prowler!K530="high",7, IF(Prowler!K530="medium",5, 1)))</f>
        <v>1</v>
      </c>
      <c r="M530" s="3" t="n">
        <f aca="false">Prowler!A530</f>
        <v>0</v>
      </c>
      <c r="O530" s="4" t="str">
        <f aca="false">IF(Prowler!N530="", "", _xlfn.CONCAT("[{""key"":""",SUBSTITUTE(SUBSTITUTE(Prowler!N530,"=",""",""value"":""")," | ","""},{""key"":"""),"""}]"))</f>
        <v/>
      </c>
    </row>
    <row r="531" customFormat="false" ht="79.75" hidden="false" customHeight="false" outlineLevel="0" collapsed="false">
      <c r="B531" s="1" t="str">
        <f aca="false">UPPER(Prowler!C531)</f>
        <v/>
      </c>
      <c r="C531" s="1" t="str">
        <f aca="false">IF(Prowler!AL531&lt;&gt;"",Prowler!AL531, _xlfn.CONCAT("arn:aws:ec2:",F531,":",Prowler!AD531,":instance/",Prowler!AK531))</f>
        <v>arn:aws:ec2:::instance/</v>
      </c>
      <c r="F531" s="1" t="n">
        <f aca="false">Prowler!AJ531</f>
        <v>0</v>
      </c>
      <c r="G531" s="1" t="n">
        <f aca="false">Prowler!E531</f>
        <v>0</v>
      </c>
      <c r="H531" s="4" t="str">
        <f aca="false">_xlfn.TEXTJOIN(CHAR(10),1, Prowler!O531:Q531)</f>
        <v/>
      </c>
      <c r="I531" s="4" t="str">
        <f aca="false">_xlfn.TEXTJOIN(CHAR(10),1, Prowler!R531:W531)</f>
        <v/>
      </c>
      <c r="J531" s="1" t="n">
        <f aca="false">IF(Prowler!K531="critical",10, IF(Prowler!K531="high",7, IF(Prowler!K531="medium",5, 1)))</f>
        <v>1</v>
      </c>
      <c r="M531" s="3" t="n">
        <f aca="false">Prowler!A531</f>
        <v>0</v>
      </c>
      <c r="O531" s="4" t="str">
        <f aca="false">IF(Prowler!N531="", "", _xlfn.CONCAT("[{""key"":""",SUBSTITUTE(SUBSTITUTE(Prowler!N531,"=",""",""value"":""")," | ","""},{""key"":"""),"""}]"))</f>
        <v/>
      </c>
    </row>
    <row r="532" customFormat="false" ht="45.9" hidden="false" customHeight="false" outlineLevel="0" collapsed="false">
      <c r="B532" s="1" t="str">
        <f aca="false">UPPER(Prowler!C532)</f>
        <v/>
      </c>
      <c r="C532" s="1" t="str">
        <f aca="false">IF(Prowler!AL532&lt;&gt;"",Prowler!AL532, _xlfn.CONCAT("arn:aws:ec2:",F532,":",Prowler!AD532,":instance/",Prowler!AK532))</f>
        <v>arn:aws:ec2:::instance/</v>
      </c>
      <c r="F532" s="1" t="n">
        <f aca="false">Prowler!AJ532</f>
        <v>0</v>
      </c>
      <c r="G532" s="1" t="n">
        <f aca="false">Prowler!E532</f>
        <v>0</v>
      </c>
      <c r="H532" s="4" t="str">
        <f aca="false">_xlfn.TEXTJOIN(CHAR(10),1, Prowler!O532:Q532)</f>
        <v/>
      </c>
      <c r="I532" s="4" t="str">
        <f aca="false">_xlfn.TEXTJOIN(CHAR(10),1, Prowler!R532:W532)</f>
        <v/>
      </c>
      <c r="J532" s="1" t="n">
        <f aca="false">IF(Prowler!K532="critical",10, IF(Prowler!K532="high",7, IF(Prowler!K532="medium",5, 1)))</f>
        <v>1</v>
      </c>
      <c r="M532" s="3" t="n">
        <f aca="false">Prowler!A532</f>
        <v>0</v>
      </c>
      <c r="O532" s="4" t="str">
        <f aca="false">IF(Prowler!N532="", "", _xlfn.CONCAT("[{""key"":""",SUBSTITUTE(SUBSTITUTE(Prowler!N532,"=",""",""value"":""")," | ","""},{""key"":"""),"""}]"))</f>
        <v/>
      </c>
    </row>
    <row r="533" customFormat="false" ht="45.9" hidden="false" customHeight="false" outlineLevel="0" collapsed="false">
      <c r="B533" s="1" t="str">
        <f aca="false">UPPER(Prowler!C533)</f>
        <v/>
      </c>
      <c r="C533" s="1" t="str">
        <f aca="false">IF(Prowler!AL533&lt;&gt;"",Prowler!AL533, _xlfn.CONCAT("arn:aws:ec2:",F533,":",Prowler!AD533,":instance/",Prowler!AK533))</f>
        <v>arn:aws:ec2:::instance/</v>
      </c>
      <c r="F533" s="1" t="n">
        <f aca="false">Prowler!AJ533</f>
        <v>0</v>
      </c>
      <c r="G533" s="1" t="n">
        <f aca="false">Prowler!E533</f>
        <v>0</v>
      </c>
      <c r="H533" s="4" t="str">
        <f aca="false">_xlfn.TEXTJOIN(CHAR(10),1, Prowler!O533:Q533)</f>
        <v/>
      </c>
      <c r="I533" s="4" t="str">
        <f aca="false">_xlfn.TEXTJOIN(CHAR(10),1, Prowler!R533:W533)</f>
        <v/>
      </c>
      <c r="J533" s="1" t="n">
        <f aca="false">IF(Prowler!K533="critical",10, IF(Prowler!K533="high",7, IF(Prowler!K533="medium",5, 1)))</f>
        <v>1</v>
      </c>
      <c r="M533" s="3" t="n">
        <f aca="false">Prowler!A533</f>
        <v>0</v>
      </c>
      <c r="O533" s="4" t="str">
        <f aca="false">IF(Prowler!N533="", "", _xlfn.CONCAT("[{""key"":""",SUBSTITUTE(SUBSTITUTE(Prowler!N533,"=",""",""value"":""")," | ","""},{""key"":"""),"""}]"))</f>
        <v/>
      </c>
    </row>
    <row r="534" customFormat="false" ht="45.9" hidden="false" customHeight="false" outlineLevel="0" collapsed="false">
      <c r="B534" s="1" t="str">
        <f aca="false">UPPER(Prowler!C534)</f>
        <v/>
      </c>
      <c r="C534" s="1" t="str">
        <f aca="false">IF(Prowler!AL534&lt;&gt;"",Prowler!AL534, _xlfn.CONCAT("arn:aws:ec2:",F534,":",Prowler!AD534,":instance/",Prowler!AK534))</f>
        <v>arn:aws:ec2:::instance/</v>
      </c>
      <c r="F534" s="1" t="n">
        <f aca="false">Prowler!AJ534</f>
        <v>0</v>
      </c>
      <c r="G534" s="1" t="n">
        <f aca="false">Prowler!E534</f>
        <v>0</v>
      </c>
      <c r="H534" s="4" t="str">
        <f aca="false">_xlfn.TEXTJOIN(CHAR(10),1, Prowler!O534:Q534)</f>
        <v/>
      </c>
      <c r="I534" s="4" t="str">
        <f aca="false">_xlfn.TEXTJOIN(CHAR(10),1, Prowler!R534:W534)</f>
        <v/>
      </c>
      <c r="J534" s="1" t="n">
        <f aca="false">IF(Prowler!K534="critical",10, IF(Prowler!K534="high",7, IF(Prowler!K534="medium",5, 1)))</f>
        <v>1</v>
      </c>
      <c r="M534" s="3" t="n">
        <f aca="false">Prowler!A534</f>
        <v>0</v>
      </c>
      <c r="O534" s="4" t="str">
        <f aca="false">IF(Prowler!N534="", "", _xlfn.CONCAT("[{""key"":""",SUBSTITUTE(SUBSTITUTE(Prowler!N534,"=",""",""value"":""")," | ","""},{""key"":"""),"""}]"))</f>
        <v/>
      </c>
    </row>
    <row r="535" customFormat="false" ht="57.2" hidden="false" customHeight="false" outlineLevel="0" collapsed="false">
      <c r="B535" s="1" t="str">
        <f aca="false">UPPER(Prowler!C535)</f>
        <v/>
      </c>
      <c r="C535" s="1" t="str">
        <f aca="false">IF(Prowler!AL535&lt;&gt;"",Prowler!AL535, _xlfn.CONCAT("arn:aws:ec2:",F535,":",Prowler!AD535,":instance/",Prowler!AK535))</f>
        <v>arn:aws:ec2:::instance/</v>
      </c>
      <c r="F535" s="1" t="n">
        <f aca="false">Prowler!AJ535</f>
        <v>0</v>
      </c>
      <c r="G535" s="1" t="n">
        <f aca="false">Prowler!E535</f>
        <v>0</v>
      </c>
      <c r="H535" s="4" t="str">
        <f aca="false">_xlfn.TEXTJOIN(CHAR(10),1, Prowler!O535:Q535)</f>
        <v/>
      </c>
      <c r="I535" s="4" t="str">
        <f aca="false">_xlfn.TEXTJOIN(CHAR(10),1, Prowler!R535:W535)</f>
        <v/>
      </c>
      <c r="J535" s="1" t="n">
        <f aca="false">IF(Prowler!K535="critical",10, IF(Prowler!K535="high",7, IF(Prowler!K535="medium",5, 1)))</f>
        <v>1</v>
      </c>
      <c r="M535" s="3" t="n">
        <f aca="false">Prowler!A535</f>
        <v>0</v>
      </c>
      <c r="O535" s="4" t="str">
        <f aca="false">IF(Prowler!N535="", "", _xlfn.CONCAT("[{""key"":""",SUBSTITUTE(SUBSTITUTE(Prowler!N535,"=",""",""value"":""")," | ","""},{""key"":"""),"""}]"))</f>
        <v/>
      </c>
    </row>
    <row r="536" customFormat="false" ht="34.8" hidden="false" customHeight="false" outlineLevel="0" collapsed="false">
      <c r="B536" s="1" t="str">
        <f aca="false">UPPER(Prowler!C536)</f>
        <v/>
      </c>
      <c r="C536" s="1" t="str">
        <f aca="false">IF(Prowler!AL536&lt;&gt;"",Prowler!AL536, _xlfn.CONCAT("arn:aws:ec2:",F536,":",Prowler!AD536,":instance/",Prowler!AK536))</f>
        <v>arn:aws:ec2:::instance/</v>
      </c>
      <c r="F536" s="1" t="n">
        <f aca="false">Prowler!AJ536</f>
        <v>0</v>
      </c>
      <c r="G536" s="1" t="n">
        <f aca="false">Prowler!E536</f>
        <v>0</v>
      </c>
      <c r="H536" s="4" t="str">
        <f aca="false">_xlfn.TEXTJOIN(CHAR(10),1, Prowler!O536:Q536)</f>
        <v/>
      </c>
      <c r="I536" s="4" t="str">
        <f aca="false">_xlfn.TEXTJOIN(CHAR(10),1, Prowler!R536:W536)</f>
        <v/>
      </c>
      <c r="J536" s="1" t="n">
        <f aca="false">IF(Prowler!K536="critical",10, IF(Prowler!K536="high",7, IF(Prowler!K536="medium",5, 1)))</f>
        <v>1</v>
      </c>
      <c r="M536" s="3" t="n">
        <f aca="false">Prowler!A536</f>
        <v>0</v>
      </c>
      <c r="O536" s="4" t="str">
        <f aca="false">IF(Prowler!N536="", "", _xlfn.CONCAT("[{""key"":""",SUBSTITUTE(SUBSTITUTE(Prowler!N536,"=",""",""value"":""")," | ","""},{""key"":"""),"""}]"))</f>
        <v/>
      </c>
    </row>
    <row r="537" customFormat="false" ht="34.8" hidden="false" customHeight="false" outlineLevel="0" collapsed="false">
      <c r="B537" s="1" t="str">
        <f aca="false">UPPER(Prowler!C537)</f>
        <v/>
      </c>
      <c r="C537" s="1" t="str">
        <f aca="false">IF(Prowler!AL537&lt;&gt;"",Prowler!AL537, _xlfn.CONCAT("arn:aws:ec2:",F537,":",Prowler!AD537,":instance/",Prowler!AK537))</f>
        <v>arn:aws:ec2:::instance/</v>
      </c>
      <c r="F537" s="1" t="n">
        <f aca="false">Prowler!AJ537</f>
        <v>0</v>
      </c>
      <c r="G537" s="1" t="n">
        <f aca="false">Prowler!E537</f>
        <v>0</v>
      </c>
      <c r="H537" s="4" t="str">
        <f aca="false">_xlfn.TEXTJOIN(CHAR(10),1, Prowler!O537:Q537)</f>
        <v/>
      </c>
      <c r="I537" s="4" t="str">
        <f aca="false">_xlfn.TEXTJOIN(CHAR(10),1, Prowler!R537:W537)</f>
        <v/>
      </c>
      <c r="J537" s="1" t="n">
        <f aca="false">IF(Prowler!K537="critical",10, IF(Prowler!K537="high",7, IF(Prowler!K537="medium",5, 1)))</f>
        <v>1</v>
      </c>
      <c r="M537" s="3" t="n">
        <f aca="false">Prowler!A537</f>
        <v>0</v>
      </c>
      <c r="O537" s="4" t="str">
        <f aca="false">IF(Prowler!N537="", "", _xlfn.CONCAT("[{""key"":""",SUBSTITUTE(SUBSTITUTE(Prowler!N537,"=",""",""value"":""")," | ","""},{""key"":"""),"""}]"))</f>
        <v/>
      </c>
    </row>
    <row r="538" customFormat="false" ht="90.7" hidden="false" customHeight="false" outlineLevel="0" collapsed="false">
      <c r="B538" s="1" t="str">
        <f aca="false">UPPER(Prowler!C538)</f>
        <v/>
      </c>
      <c r="C538" s="1" t="str">
        <f aca="false">IF(Prowler!AL538&lt;&gt;"",Prowler!AL538, _xlfn.CONCAT("arn:aws:ec2:",F538,":",Prowler!AD538,":instance/",Prowler!AK538))</f>
        <v>arn:aws:ec2:::instance/</v>
      </c>
      <c r="F538" s="1" t="n">
        <f aca="false">Prowler!AJ538</f>
        <v>0</v>
      </c>
      <c r="G538" s="1" t="n">
        <f aca="false">Prowler!E538</f>
        <v>0</v>
      </c>
      <c r="H538" s="4" t="str">
        <f aca="false">_xlfn.TEXTJOIN(CHAR(10),1, Prowler!O538:Q538)</f>
        <v/>
      </c>
      <c r="I538" s="4" t="str">
        <f aca="false">_xlfn.TEXTJOIN(CHAR(10),1, Prowler!R538:W538)</f>
        <v/>
      </c>
      <c r="J538" s="1" t="n">
        <f aca="false">IF(Prowler!K538="critical",10, IF(Prowler!K538="high",7, IF(Prowler!K538="medium",5, 1)))</f>
        <v>1</v>
      </c>
      <c r="M538" s="3" t="n">
        <f aca="false">Prowler!A538</f>
        <v>0</v>
      </c>
      <c r="O538" s="4" t="str">
        <f aca="false">IF(Prowler!N538="", "", _xlfn.CONCAT("[{""key"":""",SUBSTITUTE(SUBSTITUTE(Prowler!N538,"=",""",""value"":""")," | ","""},{""key"":"""),"""}]"))</f>
        <v/>
      </c>
    </row>
    <row r="539" customFormat="false" ht="90.7" hidden="false" customHeight="false" outlineLevel="0" collapsed="false">
      <c r="B539" s="1" t="str">
        <f aca="false">UPPER(Prowler!C539)</f>
        <v/>
      </c>
      <c r="C539" s="1" t="str">
        <f aca="false">IF(Prowler!AL539&lt;&gt;"",Prowler!AL539, _xlfn.CONCAT("arn:aws:ec2:",F539,":",Prowler!AD539,":instance/",Prowler!AK539))</f>
        <v>arn:aws:ec2:::instance/</v>
      </c>
      <c r="F539" s="1" t="n">
        <f aca="false">Prowler!AJ539</f>
        <v>0</v>
      </c>
      <c r="G539" s="1" t="n">
        <f aca="false">Prowler!E539</f>
        <v>0</v>
      </c>
      <c r="H539" s="4" t="str">
        <f aca="false">_xlfn.TEXTJOIN(CHAR(10),1, Prowler!O539:Q539)</f>
        <v/>
      </c>
      <c r="I539" s="4" t="str">
        <f aca="false">_xlfn.TEXTJOIN(CHAR(10),1, Prowler!R539:W539)</f>
        <v/>
      </c>
      <c r="J539" s="1" t="n">
        <f aca="false">IF(Prowler!K539="critical",10, IF(Prowler!K539="high",7, IF(Prowler!K539="medium",5, 1)))</f>
        <v>1</v>
      </c>
      <c r="M539" s="3" t="n">
        <f aca="false">Prowler!A539</f>
        <v>0</v>
      </c>
      <c r="O539" s="4" t="str">
        <f aca="false">IF(Prowler!N539="", "", _xlfn.CONCAT("[{""key"":""",SUBSTITUTE(SUBSTITUTE(Prowler!N539,"=",""",""value"":""")," | ","""},{""key"":"""),"""}]"))</f>
        <v/>
      </c>
    </row>
    <row r="540" customFormat="false" ht="90.7" hidden="false" customHeight="false" outlineLevel="0" collapsed="false">
      <c r="B540" s="1" t="str">
        <f aca="false">UPPER(Prowler!C540)</f>
        <v/>
      </c>
      <c r="C540" s="1" t="str">
        <f aca="false">IF(Prowler!AL540&lt;&gt;"",Prowler!AL540, _xlfn.CONCAT("arn:aws:ec2:",F540,":",Prowler!AD540,":instance/",Prowler!AK540))</f>
        <v>arn:aws:ec2:::instance/</v>
      </c>
      <c r="F540" s="1" t="n">
        <f aca="false">Prowler!AJ540</f>
        <v>0</v>
      </c>
      <c r="G540" s="1" t="n">
        <f aca="false">Prowler!E540</f>
        <v>0</v>
      </c>
      <c r="H540" s="4" t="str">
        <f aca="false">_xlfn.TEXTJOIN(CHAR(10),1, Prowler!O540:Q540)</f>
        <v/>
      </c>
      <c r="I540" s="4" t="str">
        <f aca="false">_xlfn.TEXTJOIN(CHAR(10),1, Prowler!R540:W540)</f>
        <v/>
      </c>
      <c r="J540" s="1" t="n">
        <f aca="false">IF(Prowler!K540="critical",10, IF(Prowler!K540="high",7, IF(Prowler!K540="medium",5, 1)))</f>
        <v>1</v>
      </c>
      <c r="M540" s="3" t="n">
        <f aca="false">Prowler!A540</f>
        <v>0</v>
      </c>
      <c r="O540" s="4" t="str">
        <f aca="false">IF(Prowler!N540="", "", _xlfn.CONCAT("[{""key"":""",SUBSTITUTE(SUBSTITUTE(Prowler!N540,"=",""",""value"":""")," | ","""},{""key"":"""),"""}]"))</f>
        <v/>
      </c>
    </row>
    <row r="541" customFormat="false" ht="90.7" hidden="false" customHeight="false" outlineLevel="0" collapsed="false">
      <c r="B541" s="1" t="str">
        <f aca="false">UPPER(Prowler!C541)</f>
        <v/>
      </c>
      <c r="C541" s="1" t="str">
        <f aca="false">IF(Prowler!AL541&lt;&gt;"",Prowler!AL541, _xlfn.CONCAT("arn:aws:ec2:",F541,":",Prowler!AD541,":instance/",Prowler!AK541))</f>
        <v>arn:aws:ec2:::instance/</v>
      </c>
      <c r="F541" s="1" t="n">
        <f aca="false">Prowler!AJ541</f>
        <v>0</v>
      </c>
      <c r="G541" s="1" t="n">
        <f aca="false">Prowler!E541</f>
        <v>0</v>
      </c>
      <c r="H541" s="4" t="str">
        <f aca="false">_xlfn.TEXTJOIN(CHAR(10),1, Prowler!O541:Q541)</f>
        <v/>
      </c>
      <c r="I541" s="4" t="str">
        <f aca="false">_xlfn.TEXTJOIN(CHAR(10),1, Prowler!R541:W541)</f>
        <v/>
      </c>
      <c r="J541" s="1" t="n">
        <f aca="false">IF(Prowler!K541="critical",10, IF(Prowler!K541="high",7, IF(Prowler!K541="medium",5, 1)))</f>
        <v>1</v>
      </c>
      <c r="M541" s="3" t="n">
        <f aca="false">Prowler!A541</f>
        <v>0</v>
      </c>
      <c r="O541" s="4" t="str">
        <f aca="false">IF(Prowler!N541="", "", _xlfn.CONCAT("[{""key"":""",SUBSTITUTE(SUBSTITUTE(Prowler!N541,"=",""",""value"":""")," | ","""},{""key"":"""),"""}]"))</f>
        <v/>
      </c>
    </row>
    <row r="542" customFormat="false" ht="90.7" hidden="false" customHeight="false" outlineLevel="0" collapsed="false">
      <c r="B542" s="1" t="str">
        <f aca="false">UPPER(Prowler!C542)</f>
        <v/>
      </c>
      <c r="C542" s="1" t="str">
        <f aca="false">IF(Prowler!AL542&lt;&gt;"",Prowler!AL542, _xlfn.CONCAT("arn:aws:ec2:",F542,":",Prowler!AD542,":instance/",Prowler!AK542))</f>
        <v>arn:aws:ec2:::instance/</v>
      </c>
      <c r="F542" s="1" t="n">
        <f aca="false">Prowler!AJ542</f>
        <v>0</v>
      </c>
      <c r="G542" s="1" t="n">
        <f aca="false">Prowler!E542</f>
        <v>0</v>
      </c>
      <c r="H542" s="4" t="str">
        <f aca="false">_xlfn.TEXTJOIN(CHAR(10),1, Prowler!O542:Q542)</f>
        <v/>
      </c>
      <c r="I542" s="4" t="str">
        <f aca="false">_xlfn.TEXTJOIN(CHAR(10),1, Prowler!R542:W542)</f>
        <v/>
      </c>
      <c r="J542" s="1" t="n">
        <f aca="false">IF(Prowler!K542="critical",10, IF(Prowler!K542="high",7, IF(Prowler!K542="medium",5, 1)))</f>
        <v>1</v>
      </c>
      <c r="M542" s="3" t="n">
        <f aca="false">Prowler!A542</f>
        <v>0</v>
      </c>
      <c r="O542" s="4" t="str">
        <f aca="false">IF(Prowler!N542="", "", _xlfn.CONCAT("[{""key"":""",SUBSTITUTE(SUBSTITUTE(Prowler!N542,"=",""",""value"":""")," | ","""},{""key"":"""),"""}]"))</f>
        <v/>
      </c>
    </row>
    <row r="543" customFormat="false" ht="90.7" hidden="false" customHeight="false" outlineLevel="0" collapsed="false">
      <c r="B543" s="1" t="str">
        <f aca="false">UPPER(Prowler!C543)</f>
        <v/>
      </c>
      <c r="C543" s="1" t="str">
        <f aca="false">IF(Prowler!AL543&lt;&gt;"",Prowler!AL543, _xlfn.CONCAT("arn:aws:ec2:",F543,":",Prowler!AD543,":instance/",Prowler!AK543))</f>
        <v>arn:aws:ec2:::instance/</v>
      </c>
      <c r="F543" s="1" t="n">
        <f aca="false">Prowler!AJ543</f>
        <v>0</v>
      </c>
      <c r="G543" s="1" t="n">
        <f aca="false">Prowler!E543</f>
        <v>0</v>
      </c>
      <c r="H543" s="4" t="str">
        <f aca="false">_xlfn.TEXTJOIN(CHAR(10),1, Prowler!O543:Q543)</f>
        <v/>
      </c>
      <c r="I543" s="4" t="str">
        <f aca="false">_xlfn.TEXTJOIN(CHAR(10),1, Prowler!R543:W543)</f>
        <v/>
      </c>
      <c r="J543" s="1" t="n">
        <f aca="false">IF(Prowler!K543="critical",10, IF(Prowler!K543="high",7, IF(Prowler!K543="medium",5, 1)))</f>
        <v>1</v>
      </c>
      <c r="M543" s="3" t="n">
        <f aca="false">Prowler!A543</f>
        <v>0</v>
      </c>
      <c r="O543" s="4" t="str">
        <f aca="false">IF(Prowler!N543="", "", _xlfn.CONCAT("[{""key"":""",SUBSTITUTE(SUBSTITUTE(Prowler!N543,"=",""",""value"":""")," | ","""},{""key"":"""),"""}]"))</f>
        <v/>
      </c>
    </row>
    <row r="544" customFormat="false" ht="90.7" hidden="false" customHeight="false" outlineLevel="0" collapsed="false">
      <c r="B544" s="1" t="str">
        <f aca="false">UPPER(Prowler!C544)</f>
        <v/>
      </c>
      <c r="C544" s="1" t="str">
        <f aca="false">IF(Prowler!AL544&lt;&gt;"",Prowler!AL544, _xlfn.CONCAT("arn:aws:ec2:",F544,":",Prowler!AD544,":instance/",Prowler!AK544))</f>
        <v>arn:aws:ec2:::instance/</v>
      </c>
      <c r="F544" s="1" t="n">
        <f aca="false">Prowler!AJ544</f>
        <v>0</v>
      </c>
      <c r="G544" s="1" t="n">
        <f aca="false">Prowler!E544</f>
        <v>0</v>
      </c>
      <c r="H544" s="4" t="str">
        <f aca="false">_xlfn.TEXTJOIN(CHAR(10),1, Prowler!O544:Q544)</f>
        <v/>
      </c>
      <c r="I544" s="4" t="str">
        <f aca="false">_xlfn.TEXTJOIN(CHAR(10),1, Prowler!R544:W544)</f>
        <v/>
      </c>
      <c r="J544" s="1" t="n">
        <f aca="false">IF(Prowler!K544="critical",10, IF(Prowler!K544="high",7, IF(Prowler!K544="medium",5, 1)))</f>
        <v>1</v>
      </c>
      <c r="M544" s="3" t="n">
        <f aca="false">Prowler!A544</f>
        <v>0</v>
      </c>
      <c r="O544" s="4" t="str">
        <f aca="false">IF(Prowler!N544="", "", _xlfn.CONCAT("[{""key"":""",SUBSTITUTE(SUBSTITUTE(Prowler!N544,"=",""",""value"":""")," | ","""},{""key"":"""),"""}]"))</f>
        <v/>
      </c>
    </row>
    <row r="545" customFormat="false" ht="90.7" hidden="false" customHeight="false" outlineLevel="0" collapsed="false">
      <c r="B545" s="1" t="str">
        <f aca="false">UPPER(Prowler!C545)</f>
        <v/>
      </c>
      <c r="C545" s="1" t="str">
        <f aca="false">IF(Prowler!AL545&lt;&gt;"",Prowler!AL545, _xlfn.CONCAT("arn:aws:ec2:",F545,":",Prowler!AD545,":instance/",Prowler!AK545))</f>
        <v>arn:aws:ec2:::instance/</v>
      </c>
      <c r="F545" s="1" t="n">
        <f aca="false">Prowler!AJ545</f>
        <v>0</v>
      </c>
      <c r="G545" s="1" t="n">
        <f aca="false">Prowler!E545</f>
        <v>0</v>
      </c>
      <c r="H545" s="4" t="str">
        <f aca="false">_xlfn.TEXTJOIN(CHAR(10),1, Prowler!O545:Q545)</f>
        <v/>
      </c>
      <c r="I545" s="4" t="str">
        <f aca="false">_xlfn.TEXTJOIN(CHAR(10),1, Prowler!R545:W545)</f>
        <v/>
      </c>
      <c r="J545" s="1" t="n">
        <f aca="false">IF(Prowler!K545="critical",10, IF(Prowler!K545="high",7, IF(Prowler!K545="medium",5, 1)))</f>
        <v>1</v>
      </c>
      <c r="M545" s="3" t="n">
        <f aca="false">Prowler!A545</f>
        <v>0</v>
      </c>
      <c r="O545" s="4" t="str">
        <f aca="false">IF(Prowler!N545="", "", _xlfn.CONCAT("[{""key"":""",SUBSTITUTE(SUBSTITUTE(Prowler!N545,"=",""",""value"":""")," | ","""},{""key"":"""),"""}]"))</f>
        <v/>
      </c>
    </row>
    <row r="546" customFormat="false" ht="90.7" hidden="false" customHeight="false" outlineLevel="0" collapsed="false">
      <c r="B546" s="1" t="str">
        <f aca="false">UPPER(Prowler!C546)</f>
        <v/>
      </c>
      <c r="C546" s="1" t="str">
        <f aca="false">IF(Prowler!AL546&lt;&gt;"",Prowler!AL546, _xlfn.CONCAT("arn:aws:ec2:",F546,":",Prowler!AD546,":instance/",Prowler!AK546))</f>
        <v>arn:aws:ec2:::instance/</v>
      </c>
      <c r="F546" s="1" t="n">
        <f aca="false">Prowler!AJ546</f>
        <v>0</v>
      </c>
      <c r="G546" s="1" t="n">
        <f aca="false">Prowler!E546</f>
        <v>0</v>
      </c>
      <c r="H546" s="4" t="str">
        <f aca="false">_xlfn.TEXTJOIN(CHAR(10),1, Prowler!O546:Q546)</f>
        <v/>
      </c>
      <c r="I546" s="4" t="str">
        <f aca="false">_xlfn.TEXTJOIN(CHAR(10),1, Prowler!R546:W546)</f>
        <v/>
      </c>
      <c r="J546" s="1" t="n">
        <f aca="false">IF(Prowler!K546="critical",10, IF(Prowler!K546="high",7, IF(Prowler!K546="medium",5, 1)))</f>
        <v>1</v>
      </c>
      <c r="M546" s="3" t="n">
        <f aca="false">Prowler!A546</f>
        <v>0</v>
      </c>
      <c r="O546" s="4" t="str">
        <f aca="false">IF(Prowler!N546="", "", _xlfn.CONCAT("[{""key"":""",SUBSTITUTE(SUBSTITUTE(Prowler!N546,"=",""",""value"":""")," | ","""},{""key"":"""),"""}]"))</f>
        <v/>
      </c>
    </row>
    <row r="547" customFormat="false" ht="90.7" hidden="false" customHeight="false" outlineLevel="0" collapsed="false">
      <c r="B547" s="1" t="str">
        <f aca="false">UPPER(Prowler!C547)</f>
        <v/>
      </c>
      <c r="C547" s="1" t="str">
        <f aca="false">IF(Prowler!AL547&lt;&gt;"",Prowler!AL547, _xlfn.CONCAT("arn:aws:ec2:",F547,":",Prowler!AD547,":instance/",Prowler!AK547))</f>
        <v>arn:aws:ec2:::instance/</v>
      </c>
      <c r="F547" s="1" t="n">
        <f aca="false">Prowler!AJ547</f>
        <v>0</v>
      </c>
      <c r="G547" s="1" t="n">
        <f aca="false">Prowler!E547</f>
        <v>0</v>
      </c>
      <c r="H547" s="4" t="str">
        <f aca="false">_xlfn.TEXTJOIN(CHAR(10),1, Prowler!O547:Q547)</f>
        <v/>
      </c>
      <c r="I547" s="4" t="str">
        <f aca="false">_xlfn.TEXTJOIN(CHAR(10),1, Prowler!R547:W547)</f>
        <v/>
      </c>
      <c r="J547" s="1" t="n">
        <f aca="false">IF(Prowler!K547="critical",10, IF(Prowler!K547="high",7, IF(Prowler!K547="medium",5, 1)))</f>
        <v>1</v>
      </c>
      <c r="M547" s="3" t="n">
        <f aca="false">Prowler!A547</f>
        <v>0</v>
      </c>
      <c r="O547" s="4" t="str">
        <f aca="false">IF(Prowler!N547="", "", _xlfn.CONCAT("[{""key"":""",SUBSTITUTE(SUBSTITUTE(Prowler!N547,"=",""",""value"":""")," | ","""},{""key"":"""),"""}]"))</f>
        <v/>
      </c>
    </row>
    <row r="548" customFormat="false" ht="90.7" hidden="false" customHeight="false" outlineLevel="0" collapsed="false">
      <c r="B548" s="1" t="str">
        <f aca="false">UPPER(Prowler!C548)</f>
        <v/>
      </c>
      <c r="C548" s="1" t="str">
        <f aca="false">IF(Prowler!AL548&lt;&gt;"",Prowler!AL548, _xlfn.CONCAT("arn:aws:ec2:",F548,":",Prowler!AD548,":instance/",Prowler!AK548))</f>
        <v>arn:aws:ec2:::instance/</v>
      </c>
      <c r="F548" s="1" t="n">
        <f aca="false">Prowler!AJ548</f>
        <v>0</v>
      </c>
      <c r="G548" s="1" t="n">
        <f aca="false">Prowler!E548</f>
        <v>0</v>
      </c>
      <c r="H548" s="4" t="str">
        <f aca="false">_xlfn.TEXTJOIN(CHAR(10),1, Prowler!O548:Q548)</f>
        <v/>
      </c>
      <c r="I548" s="4" t="str">
        <f aca="false">_xlfn.TEXTJOIN(CHAR(10),1, Prowler!R548:W548)</f>
        <v/>
      </c>
      <c r="J548" s="1" t="n">
        <f aca="false">IF(Prowler!K548="critical",10, IF(Prowler!K548="high",7, IF(Prowler!K548="medium",5, 1)))</f>
        <v>1</v>
      </c>
      <c r="M548" s="3" t="n">
        <f aca="false">Prowler!A548</f>
        <v>0</v>
      </c>
      <c r="O548" s="4" t="str">
        <f aca="false">IF(Prowler!N548="", "", _xlfn.CONCAT("[{""key"":""",SUBSTITUTE(SUBSTITUTE(Prowler!N548,"=",""",""value"":""")," | ","""},{""key"":"""),"""}]"))</f>
        <v/>
      </c>
    </row>
    <row r="549" customFormat="false" ht="90.7" hidden="false" customHeight="false" outlineLevel="0" collapsed="false">
      <c r="B549" s="1" t="str">
        <f aca="false">UPPER(Prowler!C549)</f>
        <v/>
      </c>
      <c r="C549" s="1" t="str">
        <f aca="false">IF(Prowler!AL549&lt;&gt;"",Prowler!AL549, _xlfn.CONCAT("arn:aws:ec2:",F549,":",Prowler!AD549,":instance/",Prowler!AK549))</f>
        <v>arn:aws:ec2:::instance/</v>
      </c>
      <c r="F549" s="1" t="n">
        <f aca="false">Prowler!AJ549</f>
        <v>0</v>
      </c>
      <c r="G549" s="1" t="n">
        <f aca="false">Prowler!E549</f>
        <v>0</v>
      </c>
      <c r="H549" s="4" t="str">
        <f aca="false">_xlfn.TEXTJOIN(CHAR(10),1, Prowler!O549:Q549)</f>
        <v/>
      </c>
      <c r="I549" s="4" t="str">
        <f aca="false">_xlfn.TEXTJOIN(CHAR(10),1, Prowler!R549:W549)</f>
        <v/>
      </c>
      <c r="J549" s="1" t="n">
        <f aca="false">IF(Prowler!K549="critical",10, IF(Prowler!K549="high",7, IF(Prowler!K549="medium",5, 1)))</f>
        <v>1</v>
      </c>
      <c r="M549" s="3" t="n">
        <f aca="false">Prowler!A549</f>
        <v>0</v>
      </c>
      <c r="O549" s="4" t="str">
        <f aca="false">IF(Prowler!N549="", "", _xlfn.CONCAT("[{""key"":""",SUBSTITUTE(SUBSTITUTE(Prowler!N549,"=",""",""value"":""")," | ","""},{""key"":"""),"""}]"))</f>
        <v/>
      </c>
    </row>
    <row r="550" customFormat="false" ht="90.7" hidden="false" customHeight="false" outlineLevel="0" collapsed="false">
      <c r="B550" s="1" t="str">
        <f aca="false">UPPER(Prowler!C550)</f>
        <v/>
      </c>
      <c r="C550" s="1" t="str">
        <f aca="false">IF(Prowler!AL550&lt;&gt;"",Prowler!AL550, _xlfn.CONCAT("arn:aws:ec2:",F550,":",Prowler!AD550,":instance/",Prowler!AK550))</f>
        <v>arn:aws:ec2:::instance/</v>
      </c>
      <c r="F550" s="1" t="n">
        <f aca="false">Prowler!AJ550</f>
        <v>0</v>
      </c>
      <c r="G550" s="1" t="n">
        <f aca="false">Prowler!E550</f>
        <v>0</v>
      </c>
      <c r="H550" s="4" t="str">
        <f aca="false">_xlfn.TEXTJOIN(CHAR(10),1, Prowler!O550:Q550)</f>
        <v/>
      </c>
      <c r="I550" s="4" t="str">
        <f aca="false">_xlfn.TEXTJOIN(CHAR(10),1, Prowler!R550:W550)</f>
        <v/>
      </c>
      <c r="J550" s="1" t="n">
        <f aca="false">IF(Prowler!K550="critical",10, IF(Prowler!K550="high",7, IF(Prowler!K550="medium",5, 1)))</f>
        <v>1</v>
      </c>
      <c r="M550" s="3" t="n">
        <f aca="false">Prowler!A550</f>
        <v>0</v>
      </c>
      <c r="O550" s="4" t="str">
        <f aca="false">IF(Prowler!N550="", "", _xlfn.CONCAT("[{""key"":""",SUBSTITUTE(SUBSTITUTE(Prowler!N550,"=",""",""value"":""")," | ","""},{""key"":"""),"""}]"))</f>
        <v/>
      </c>
    </row>
    <row r="551" customFormat="false" ht="90.7" hidden="false" customHeight="false" outlineLevel="0" collapsed="false">
      <c r="B551" s="1" t="str">
        <f aca="false">UPPER(Prowler!C551)</f>
        <v/>
      </c>
      <c r="C551" s="1" t="str">
        <f aca="false">IF(Prowler!AL551&lt;&gt;"",Prowler!AL551, _xlfn.CONCAT("arn:aws:ec2:",F551,":",Prowler!AD551,":instance/",Prowler!AK551))</f>
        <v>arn:aws:ec2:::instance/</v>
      </c>
      <c r="F551" s="1" t="n">
        <f aca="false">Prowler!AJ551</f>
        <v>0</v>
      </c>
      <c r="G551" s="1" t="n">
        <f aca="false">Prowler!E551</f>
        <v>0</v>
      </c>
      <c r="H551" s="4" t="str">
        <f aca="false">_xlfn.TEXTJOIN(CHAR(10),1, Prowler!O551:Q551)</f>
        <v/>
      </c>
      <c r="I551" s="4" t="str">
        <f aca="false">_xlfn.TEXTJOIN(CHAR(10),1, Prowler!R551:W551)</f>
        <v/>
      </c>
      <c r="J551" s="1" t="n">
        <f aca="false">IF(Prowler!K551="critical",10, IF(Prowler!K551="high",7, IF(Prowler!K551="medium",5, 1)))</f>
        <v>1</v>
      </c>
      <c r="M551" s="3" t="n">
        <f aca="false">Prowler!A551</f>
        <v>0</v>
      </c>
      <c r="O551" s="4" t="str">
        <f aca="false">IF(Prowler!N551="", "", _xlfn.CONCAT("[{""key"":""",SUBSTITUTE(SUBSTITUTE(Prowler!N551,"=",""",""value"":""")," | ","""},{""key"":"""),"""}]"))</f>
        <v/>
      </c>
    </row>
    <row r="552" customFormat="false" ht="90.7" hidden="false" customHeight="false" outlineLevel="0" collapsed="false">
      <c r="B552" s="1" t="str">
        <f aca="false">UPPER(Prowler!C552)</f>
        <v/>
      </c>
      <c r="C552" s="1" t="str">
        <f aca="false">IF(Prowler!AL552&lt;&gt;"",Prowler!AL552, _xlfn.CONCAT("arn:aws:ec2:",F552,":",Prowler!AD552,":instance/",Prowler!AK552))</f>
        <v>arn:aws:ec2:::instance/</v>
      </c>
      <c r="F552" s="1" t="n">
        <f aca="false">Prowler!AJ552</f>
        <v>0</v>
      </c>
      <c r="G552" s="1" t="n">
        <f aca="false">Prowler!E552</f>
        <v>0</v>
      </c>
      <c r="H552" s="4" t="str">
        <f aca="false">_xlfn.TEXTJOIN(CHAR(10),1, Prowler!O552:Q552)</f>
        <v/>
      </c>
      <c r="I552" s="4" t="str">
        <f aca="false">_xlfn.TEXTJOIN(CHAR(10),1, Prowler!R552:W552)</f>
        <v/>
      </c>
      <c r="J552" s="1" t="n">
        <f aca="false">IF(Prowler!K552="critical",10, IF(Prowler!K552="high",7, IF(Prowler!K552="medium",5, 1)))</f>
        <v>1</v>
      </c>
      <c r="M552" s="3" t="n">
        <f aca="false">Prowler!A552</f>
        <v>0</v>
      </c>
      <c r="O552" s="4" t="str">
        <f aca="false">IF(Prowler!N552="", "", _xlfn.CONCAT("[{""key"":""",SUBSTITUTE(SUBSTITUTE(Prowler!N552,"=",""",""value"":""")," | ","""},{""key"":"""),"""}]"))</f>
        <v/>
      </c>
    </row>
    <row r="553" customFormat="false" ht="90.7" hidden="false" customHeight="false" outlineLevel="0" collapsed="false">
      <c r="B553" s="1" t="str">
        <f aca="false">UPPER(Prowler!C553)</f>
        <v/>
      </c>
      <c r="C553" s="1" t="str">
        <f aca="false">IF(Prowler!AL553&lt;&gt;"",Prowler!AL553, _xlfn.CONCAT("arn:aws:ec2:",F553,":",Prowler!AD553,":instance/",Prowler!AK553))</f>
        <v>arn:aws:ec2:::instance/</v>
      </c>
      <c r="F553" s="1" t="n">
        <f aca="false">Prowler!AJ553</f>
        <v>0</v>
      </c>
      <c r="G553" s="1" t="n">
        <f aca="false">Prowler!E553</f>
        <v>0</v>
      </c>
      <c r="H553" s="4" t="str">
        <f aca="false">_xlfn.TEXTJOIN(CHAR(10),1, Prowler!O553:Q553)</f>
        <v/>
      </c>
      <c r="I553" s="4" t="str">
        <f aca="false">_xlfn.TEXTJOIN(CHAR(10),1, Prowler!R553:W553)</f>
        <v/>
      </c>
      <c r="J553" s="1" t="n">
        <f aca="false">IF(Prowler!K553="critical",10, IF(Prowler!K553="high",7, IF(Prowler!K553="medium",5, 1)))</f>
        <v>1</v>
      </c>
      <c r="M553" s="3" t="n">
        <f aca="false">Prowler!A553</f>
        <v>0</v>
      </c>
      <c r="O553" s="4" t="str">
        <f aca="false">IF(Prowler!N553="", "", _xlfn.CONCAT("[{""key"":""",SUBSTITUTE(SUBSTITUTE(Prowler!N553,"=",""",""value"":""")," | ","""},{""key"":"""),"""}]"))</f>
        <v/>
      </c>
    </row>
    <row r="554" customFormat="false" ht="90.7" hidden="false" customHeight="false" outlineLevel="0" collapsed="false">
      <c r="B554" s="1" t="str">
        <f aca="false">UPPER(Prowler!C554)</f>
        <v/>
      </c>
      <c r="C554" s="1" t="str">
        <f aca="false">IF(Prowler!AL554&lt;&gt;"",Prowler!AL554, _xlfn.CONCAT("arn:aws:ec2:",F554,":",Prowler!AD554,":instance/",Prowler!AK554))</f>
        <v>arn:aws:ec2:::instance/</v>
      </c>
      <c r="F554" s="1" t="n">
        <f aca="false">Prowler!AJ554</f>
        <v>0</v>
      </c>
      <c r="G554" s="1" t="n">
        <f aca="false">Prowler!E554</f>
        <v>0</v>
      </c>
      <c r="H554" s="4" t="str">
        <f aca="false">_xlfn.TEXTJOIN(CHAR(10),1, Prowler!O554:Q554)</f>
        <v/>
      </c>
      <c r="I554" s="4" t="str">
        <f aca="false">_xlfn.TEXTJOIN(CHAR(10),1, Prowler!R554:W554)</f>
        <v/>
      </c>
      <c r="J554" s="1" t="n">
        <f aca="false">IF(Prowler!K554="critical",10, IF(Prowler!K554="high",7, IF(Prowler!K554="medium",5, 1)))</f>
        <v>1</v>
      </c>
      <c r="M554" s="3" t="n">
        <f aca="false">Prowler!A554</f>
        <v>0</v>
      </c>
      <c r="O554" s="4" t="str">
        <f aca="false">IF(Prowler!N554="", "", _xlfn.CONCAT("[{""key"":""",SUBSTITUTE(SUBSTITUTE(Prowler!N554,"=",""",""value"":""")," | ","""},{""key"":"""),"""}]"))</f>
        <v/>
      </c>
    </row>
    <row r="555" customFormat="false" ht="90.7" hidden="false" customHeight="false" outlineLevel="0" collapsed="false">
      <c r="B555" s="1" t="str">
        <f aca="false">UPPER(Prowler!C555)</f>
        <v/>
      </c>
      <c r="C555" s="1" t="str">
        <f aca="false">IF(Prowler!AL555&lt;&gt;"",Prowler!AL555, _xlfn.CONCAT("arn:aws:ec2:",F555,":",Prowler!AD555,":instance/",Prowler!AK555))</f>
        <v>arn:aws:ec2:::instance/</v>
      </c>
      <c r="F555" s="1" t="n">
        <f aca="false">Prowler!AJ555</f>
        <v>0</v>
      </c>
      <c r="G555" s="1" t="n">
        <f aca="false">Prowler!E555</f>
        <v>0</v>
      </c>
      <c r="H555" s="4" t="str">
        <f aca="false">_xlfn.TEXTJOIN(CHAR(10),1, Prowler!O555:Q555)</f>
        <v/>
      </c>
      <c r="I555" s="4" t="str">
        <f aca="false">_xlfn.TEXTJOIN(CHAR(10),1, Prowler!R555:W555)</f>
        <v/>
      </c>
      <c r="J555" s="1" t="n">
        <f aca="false">IF(Prowler!K555="critical",10, IF(Prowler!K555="high",7, IF(Prowler!K555="medium",5, 1)))</f>
        <v>1</v>
      </c>
      <c r="M555" s="3" t="n">
        <f aca="false">Prowler!A555</f>
        <v>0</v>
      </c>
      <c r="O555" s="4" t="str">
        <f aca="false">IF(Prowler!N555="", "", _xlfn.CONCAT("[{""key"":""",SUBSTITUTE(SUBSTITUTE(Prowler!N555,"=",""",""value"":""")," | ","""},{""key"":"""),"""}]"))</f>
        <v/>
      </c>
    </row>
    <row r="556" customFormat="false" ht="90.7" hidden="false" customHeight="false" outlineLevel="0" collapsed="false">
      <c r="B556" s="1" t="str">
        <f aca="false">UPPER(Prowler!C556)</f>
        <v/>
      </c>
      <c r="C556" s="1" t="str">
        <f aca="false">IF(Prowler!AL556&lt;&gt;"",Prowler!AL556, _xlfn.CONCAT("arn:aws:ec2:",F556,":",Prowler!AD556,":instance/",Prowler!AK556))</f>
        <v>arn:aws:ec2:::instance/</v>
      </c>
      <c r="F556" s="1" t="n">
        <f aca="false">Prowler!AJ556</f>
        <v>0</v>
      </c>
      <c r="G556" s="1" t="n">
        <f aca="false">Prowler!E556</f>
        <v>0</v>
      </c>
      <c r="H556" s="4" t="str">
        <f aca="false">_xlfn.TEXTJOIN(CHAR(10),1, Prowler!O556:Q556)</f>
        <v/>
      </c>
      <c r="I556" s="4" t="str">
        <f aca="false">_xlfn.TEXTJOIN(CHAR(10),1, Prowler!R556:W556)</f>
        <v/>
      </c>
      <c r="J556" s="1" t="n">
        <f aca="false">IF(Prowler!K556="critical",10, IF(Prowler!K556="high",7, IF(Prowler!K556="medium",5, 1)))</f>
        <v>1</v>
      </c>
      <c r="M556" s="3" t="n">
        <f aca="false">Prowler!A556</f>
        <v>0</v>
      </c>
      <c r="O556" s="4" t="str">
        <f aca="false">IF(Prowler!N556="", "", _xlfn.CONCAT("[{""key"":""",SUBSTITUTE(SUBSTITUTE(Prowler!N556,"=",""",""value"":""")," | ","""},{""key"":"""),"""}]"))</f>
        <v/>
      </c>
    </row>
    <row r="557" customFormat="false" ht="124.35" hidden="false" customHeight="false" outlineLevel="0" collapsed="false">
      <c r="B557" s="1" t="str">
        <f aca="false">UPPER(Prowler!C557)</f>
        <v/>
      </c>
      <c r="C557" s="1" t="str">
        <f aca="false">IF(Prowler!AL557&lt;&gt;"",Prowler!AL557, _xlfn.CONCAT("arn:aws:ec2:",F557,":",Prowler!AD557,":instance/",Prowler!AK557))</f>
        <v>arn:aws:ec2:::instance/</v>
      </c>
      <c r="F557" s="1" t="n">
        <f aca="false">Prowler!AJ557</f>
        <v>0</v>
      </c>
      <c r="G557" s="1" t="n">
        <f aca="false">Prowler!E557</f>
        <v>0</v>
      </c>
      <c r="H557" s="4" t="str">
        <f aca="false">_xlfn.TEXTJOIN(CHAR(10),1, Prowler!O557:Q557)</f>
        <v/>
      </c>
      <c r="I557" s="4" t="str">
        <f aca="false">_xlfn.TEXTJOIN(CHAR(10),1, Prowler!R557:W557)</f>
        <v/>
      </c>
      <c r="J557" s="1" t="n">
        <f aca="false">IF(Prowler!K557="critical",10, IF(Prowler!K557="high",7, IF(Prowler!K557="medium",5, 1)))</f>
        <v>1</v>
      </c>
      <c r="M557" s="3" t="n">
        <f aca="false">Prowler!A557</f>
        <v>0</v>
      </c>
      <c r="O557" s="4" t="str">
        <f aca="false">IF(Prowler!N557="", "", _xlfn.CONCAT("[{""key"":""",SUBSTITUTE(SUBSTITUTE(Prowler!N557,"=",""",""value"":""")," | ","""},{""key"":"""),"""}]"))</f>
        <v/>
      </c>
    </row>
    <row r="558" customFormat="false" ht="90.7" hidden="false" customHeight="false" outlineLevel="0" collapsed="false">
      <c r="B558" s="1" t="str">
        <f aca="false">UPPER(Prowler!C558)</f>
        <v/>
      </c>
      <c r="C558" s="1" t="str">
        <f aca="false">IF(Prowler!AL558&lt;&gt;"",Prowler!AL558, _xlfn.CONCAT("arn:aws:ec2:",F558,":",Prowler!AD558,":instance/",Prowler!AK558))</f>
        <v>arn:aws:ec2:::instance/</v>
      </c>
      <c r="F558" s="1" t="n">
        <f aca="false">Prowler!AJ558</f>
        <v>0</v>
      </c>
      <c r="G558" s="1" t="n">
        <f aca="false">Prowler!E558</f>
        <v>0</v>
      </c>
      <c r="H558" s="4" t="str">
        <f aca="false">_xlfn.TEXTJOIN(CHAR(10),1, Prowler!O558:Q558)</f>
        <v/>
      </c>
      <c r="I558" s="4" t="str">
        <f aca="false">_xlfn.TEXTJOIN(CHAR(10),1, Prowler!R558:W558)</f>
        <v/>
      </c>
      <c r="J558" s="1" t="n">
        <f aca="false">IF(Prowler!K558="critical",10, IF(Prowler!K558="high",7, IF(Prowler!K558="medium",5, 1)))</f>
        <v>1</v>
      </c>
      <c r="M558" s="3" t="n">
        <f aca="false">Prowler!A558</f>
        <v>0</v>
      </c>
      <c r="O558" s="4" t="str">
        <f aca="false">IF(Prowler!N558="", "", _xlfn.CONCAT("[{""key"":""",SUBSTITUTE(SUBSTITUTE(Prowler!N558,"=",""",""value"":""")," | ","""},{""key"":"""),"""}]"))</f>
        <v/>
      </c>
    </row>
    <row r="559" customFormat="false" ht="90.7" hidden="false" customHeight="false" outlineLevel="0" collapsed="false">
      <c r="B559" s="1" t="str">
        <f aca="false">UPPER(Prowler!C559)</f>
        <v/>
      </c>
      <c r="C559" s="1" t="str">
        <f aca="false">IF(Prowler!AL559&lt;&gt;"",Prowler!AL559, _xlfn.CONCAT("arn:aws:ec2:",F559,":",Prowler!AD559,":instance/",Prowler!AK559))</f>
        <v>arn:aws:ec2:::instance/</v>
      </c>
      <c r="F559" s="1" t="n">
        <f aca="false">Prowler!AJ559</f>
        <v>0</v>
      </c>
      <c r="G559" s="1" t="n">
        <f aca="false">Prowler!E559</f>
        <v>0</v>
      </c>
      <c r="H559" s="4" t="str">
        <f aca="false">_xlfn.TEXTJOIN(CHAR(10),1, Prowler!O559:Q559)</f>
        <v/>
      </c>
      <c r="I559" s="4" t="str">
        <f aca="false">_xlfn.TEXTJOIN(CHAR(10),1, Prowler!R559:W559)</f>
        <v/>
      </c>
      <c r="J559" s="1" t="n">
        <f aca="false">IF(Prowler!K559="critical",10, IF(Prowler!K559="high",7, IF(Prowler!K559="medium",5, 1)))</f>
        <v>1</v>
      </c>
      <c r="M559" s="3" t="n">
        <f aca="false">Prowler!A559</f>
        <v>0</v>
      </c>
      <c r="O559" s="4" t="str">
        <f aca="false">IF(Prowler!N559="", "", _xlfn.CONCAT("[{""key"":""",SUBSTITUTE(SUBSTITUTE(Prowler!N559,"=",""",""value"":""")," | ","""},{""key"":"""),"""}]"))</f>
        <v/>
      </c>
    </row>
    <row r="560" customFormat="false" ht="90.7" hidden="false" customHeight="false" outlineLevel="0" collapsed="false">
      <c r="B560" s="1" t="str">
        <f aca="false">UPPER(Prowler!C560)</f>
        <v/>
      </c>
      <c r="C560" s="1" t="str">
        <f aca="false">IF(Prowler!AL560&lt;&gt;"",Prowler!AL560, _xlfn.CONCAT("arn:aws:ec2:",F560,":",Prowler!AD560,":instance/",Prowler!AK560))</f>
        <v>arn:aws:ec2:::instance/</v>
      </c>
      <c r="F560" s="1" t="n">
        <f aca="false">Prowler!AJ560</f>
        <v>0</v>
      </c>
      <c r="G560" s="1" t="n">
        <f aca="false">Prowler!E560</f>
        <v>0</v>
      </c>
      <c r="H560" s="4" t="str">
        <f aca="false">_xlfn.TEXTJOIN(CHAR(10),1, Prowler!O560:Q560)</f>
        <v/>
      </c>
      <c r="I560" s="4" t="str">
        <f aca="false">_xlfn.TEXTJOIN(CHAR(10),1, Prowler!R560:W560)</f>
        <v/>
      </c>
      <c r="J560" s="1" t="n">
        <f aca="false">IF(Prowler!K560="critical",10, IF(Prowler!K560="high",7, IF(Prowler!K560="medium",5, 1)))</f>
        <v>1</v>
      </c>
      <c r="M560" s="3" t="n">
        <f aca="false">Prowler!A560</f>
        <v>0</v>
      </c>
      <c r="O560" s="4" t="str">
        <f aca="false">IF(Prowler!N560="", "", _xlfn.CONCAT("[{""key"":""",SUBSTITUTE(SUBSTITUTE(Prowler!N560,"=",""",""value"":""")," | ","""},{""key"":"""),"""}]"))</f>
        <v/>
      </c>
    </row>
    <row r="561" customFormat="false" ht="90.7" hidden="false" customHeight="false" outlineLevel="0" collapsed="false">
      <c r="B561" s="1" t="str">
        <f aca="false">UPPER(Prowler!C561)</f>
        <v/>
      </c>
      <c r="C561" s="1" t="str">
        <f aca="false">IF(Prowler!AL561&lt;&gt;"",Prowler!AL561, _xlfn.CONCAT("arn:aws:ec2:",F561,":",Prowler!AD561,":instance/",Prowler!AK561))</f>
        <v>arn:aws:ec2:::instance/</v>
      </c>
      <c r="F561" s="1" t="n">
        <f aca="false">Prowler!AJ561</f>
        <v>0</v>
      </c>
      <c r="G561" s="1" t="n">
        <f aca="false">Prowler!E561</f>
        <v>0</v>
      </c>
      <c r="H561" s="4" t="str">
        <f aca="false">_xlfn.TEXTJOIN(CHAR(10),1, Prowler!O561:Q561)</f>
        <v/>
      </c>
      <c r="I561" s="4" t="str">
        <f aca="false">_xlfn.TEXTJOIN(CHAR(10),1, Prowler!R561:W561)</f>
        <v/>
      </c>
      <c r="J561" s="1" t="n">
        <f aca="false">IF(Prowler!K561="critical",10, IF(Prowler!K561="high",7, IF(Prowler!K561="medium",5, 1)))</f>
        <v>1</v>
      </c>
      <c r="M561" s="3" t="n">
        <f aca="false">Prowler!A561</f>
        <v>0</v>
      </c>
      <c r="O561" s="4" t="str">
        <f aca="false">IF(Prowler!N561="", "", _xlfn.CONCAT("[{""key"":""",SUBSTITUTE(SUBSTITUTE(Prowler!N561,"=",""",""value"":""")," | ","""},{""key"":"""),"""}]"))</f>
        <v/>
      </c>
    </row>
    <row r="562" customFormat="false" ht="90.7" hidden="false" customHeight="false" outlineLevel="0" collapsed="false">
      <c r="B562" s="1" t="str">
        <f aca="false">UPPER(Prowler!C562)</f>
        <v/>
      </c>
      <c r="C562" s="1" t="str">
        <f aca="false">IF(Prowler!AL562&lt;&gt;"",Prowler!AL562, _xlfn.CONCAT("arn:aws:ec2:",F562,":",Prowler!AD562,":instance/",Prowler!AK562))</f>
        <v>arn:aws:ec2:::instance/</v>
      </c>
      <c r="F562" s="1" t="n">
        <f aca="false">Prowler!AJ562</f>
        <v>0</v>
      </c>
      <c r="G562" s="1" t="n">
        <f aca="false">Prowler!E562</f>
        <v>0</v>
      </c>
      <c r="H562" s="4" t="str">
        <f aca="false">_xlfn.TEXTJOIN(CHAR(10),1, Prowler!O562:Q562)</f>
        <v/>
      </c>
      <c r="I562" s="4" t="str">
        <f aca="false">_xlfn.TEXTJOIN(CHAR(10),1, Prowler!R562:W562)</f>
        <v/>
      </c>
      <c r="J562" s="1" t="n">
        <f aca="false">IF(Prowler!K562="critical",10, IF(Prowler!K562="high",7, IF(Prowler!K562="medium",5, 1)))</f>
        <v>1</v>
      </c>
      <c r="M562" s="3" t="n">
        <f aca="false">Prowler!A562</f>
        <v>0</v>
      </c>
      <c r="O562" s="4" t="str">
        <f aca="false">IF(Prowler!N562="", "", _xlfn.CONCAT("[{""key"":""",SUBSTITUTE(SUBSTITUTE(Prowler!N562,"=",""",""value"":""")," | ","""},{""key"":"""),"""}]"))</f>
        <v/>
      </c>
    </row>
    <row r="563" customFormat="false" ht="90.7" hidden="false" customHeight="false" outlineLevel="0" collapsed="false">
      <c r="B563" s="1" t="str">
        <f aca="false">UPPER(Prowler!C563)</f>
        <v/>
      </c>
      <c r="C563" s="1" t="str">
        <f aca="false">IF(Prowler!AL563&lt;&gt;"",Prowler!AL563, _xlfn.CONCAT("arn:aws:ec2:",F563,":",Prowler!AD563,":instance/",Prowler!AK563))</f>
        <v>arn:aws:ec2:::instance/</v>
      </c>
      <c r="F563" s="1" t="n">
        <f aca="false">Prowler!AJ563</f>
        <v>0</v>
      </c>
      <c r="G563" s="1" t="n">
        <f aca="false">Prowler!E563</f>
        <v>0</v>
      </c>
      <c r="H563" s="4" t="str">
        <f aca="false">_xlfn.TEXTJOIN(CHAR(10),1, Prowler!O563:Q563)</f>
        <v/>
      </c>
      <c r="I563" s="4" t="str">
        <f aca="false">_xlfn.TEXTJOIN(CHAR(10),1, Prowler!R563:W563)</f>
        <v/>
      </c>
      <c r="J563" s="1" t="n">
        <f aca="false">IF(Prowler!K563="critical",10, IF(Prowler!K563="high",7, IF(Prowler!K563="medium",5, 1)))</f>
        <v>1</v>
      </c>
      <c r="M563" s="3" t="n">
        <f aca="false">Prowler!A563</f>
        <v>0</v>
      </c>
      <c r="O563" s="4" t="str">
        <f aca="false">IF(Prowler!N563="", "", _xlfn.CONCAT("[{""key"":""",SUBSTITUTE(SUBSTITUTE(Prowler!N563,"=",""",""value"":""")," | ","""},{""key"":"""),"""}]"))</f>
        <v/>
      </c>
    </row>
    <row r="564" customFormat="false" ht="90.7" hidden="false" customHeight="false" outlineLevel="0" collapsed="false">
      <c r="B564" s="1" t="str">
        <f aca="false">UPPER(Prowler!C564)</f>
        <v/>
      </c>
      <c r="C564" s="1" t="str">
        <f aca="false">IF(Prowler!AL564&lt;&gt;"",Prowler!AL564, _xlfn.CONCAT("arn:aws:ec2:",F564,":",Prowler!AD564,":instance/",Prowler!AK564))</f>
        <v>arn:aws:ec2:::instance/</v>
      </c>
      <c r="F564" s="1" t="n">
        <f aca="false">Prowler!AJ564</f>
        <v>0</v>
      </c>
      <c r="G564" s="1" t="n">
        <f aca="false">Prowler!E564</f>
        <v>0</v>
      </c>
      <c r="H564" s="4" t="str">
        <f aca="false">_xlfn.TEXTJOIN(CHAR(10),1, Prowler!O564:Q564)</f>
        <v/>
      </c>
      <c r="I564" s="4" t="str">
        <f aca="false">_xlfn.TEXTJOIN(CHAR(10),1, Prowler!R564:W564)</f>
        <v/>
      </c>
      <c r="J564" s="1" t="n">
        <f aca="false">IF(Prowler!K564="critical",10, IF(Prowler!K564="high",7, IF(Prowler!K564="medium",5, 1)))</f>
        <v>1</v>
      </c>
      <c r="M564" s="3" t="n">
        <f aca="false">Prowler!A564</f>
        <v>0</v>
      </c>
      <c r="O564" s="4" t="str">
        <f aca="false">IF(Prowler!N564="", "", _xlfn.CONCAT("[{""key"":""",SUBSTITUTE(SUBSTITUTE(Prowler!N564,"=",""",""value"":""")," | ","""},{""key"":"""),"""}]"))</f>
        <v/>
      </c>
    </row>
    <row r="565" customFormat="false" ht="90.7" hidden="false" customHeight="false" outlineLevel="0" collapsed="false">
      <c r="B565" s="1" t="str">
        <f aca="false">UPPER(Prowler!C565)</f>
        <v/>
      </c>
      <c r="C565" s="1" t="str">
        <f aca="false">IF(Prowler!AL565&lt;&gt;"",Prowler!AL565, _xlfn.CONCAT("arn:aws:ec2:",F565,":",Prowler!AD565,":instance/",Prowler!AK565))</f>
        <v>arn:aws:ec2:::instance/</v>
      </c>
      <c r="F565" s="1" t="n">
        <f aca="false">Prowler!AJ565</f>
        <v>0</v>
      </c>
      <c r="G565" s="1" t="n">
        <f aca="false">Prowler!E565</f>
        <v>0</v>
      </c>
      <c r="H565" s="4" t="str">
        <f aca="false">_xlfn.TEXTJOIN(CHAR(10),1, Prowler!O565:Q565)</f>
        <v/>
      </c>
      <c r="I565" s="4" t="str">
        <f aca="false">_xlfn.TEXTJOIN(CHAR(10),1, Prowler!R565:W565)</f>
        <v/>
      </c>
      <c r="J565" s="1" t="n">
        <f aca="false">IF(Prowler!K565="critical",10, IF(Prowler!K565="high",7, IF(Prowler!K565="medium",5, 1)))</f>
        <v>1</v>
      </c>
      <c r="M565" s="3" t="n">
        <f aca="false">Prowler!A565</f>
        <v>0</v>
      </c>
      <c r="O565" s="4" t="str">
        <f aca="false">IF(Prowler!N565="", "", _xlfn.CONCAT("[{""key"":""",SUBSTITUTE(SUBSTITUTE(Prowler!N565,"=",""",""value"":""")," | ","""},{""key"":"""),"""}]"))</f>
        <v/>
      </c>
    </row>
    <row r="566" customFormat="false" ht="124.35" hidden="false" customHeight="false" outlineLevel="0" collapsed="false">
      <c r="B566" s="1" t="str">
        <f aca="false">UPPER(Prowler!C566)</f>
        <v/>
      </c>
      <c r="C566" s="1" t="str">
        <f aca="false">IF(Prowler!AL566&lt;&gt;"",Prowler!AL566, _xlfn.CONCAT("arn:aws:ec2:",F566,":",Prowler!AD566,":instance/",Prowler!AK566))</f>
        <v>arn:aws:ec2:::instance/</v>
      </c>
      <c r="F566" s="1" t="n">
        <f aca="false">Prowler!AJ566</f>
        <v>0</v>
      </c>
      <c r="G566" s="1" t="n">
        <f aca="false">Prowler!E566</f>
        <v>0</v>
      </c>
      <c r="H566" s="4" t="str">
        <f aca="false">_xlfn.TEXTJOIN(CHAR(10),1, Prowler!O566:Q566)</f>
        <v/>
      </c>
      <c r="I566" s="4" t="str">
        <f aca="false">_xlfn.TEXTJOIN(CHAR(10),1, Prowler!R566:W566)</f>
        <v/>
      </c>
      <c r="J566" s="1" t="n">
        <f aca="false">IF(Prowler!K566="critical",10, IF(Prowler!K566="high",7, IF(Prowler!K566="medium",5, 1)))</f>
        <v>1</v>
      </c>
      <c r="M566" s="3" t="n">
        <f aca="false">Prowler!A566</f>
        <v>0</v>
      </c>
      <c r="O566" s="4" t="str">
        <f aca="false">IF(Prowler!N566="", "", _xlfn.CONCAT("[{""key"":""",SUBSTITUTE(SUBSTITUTE(Prowler!N566,"=",""",""value"":""")," | ","""},{""key"":"""),"""}]"))</f>
        <v/>
      </c>
    </row>
    <row r="567" customFormat="false" ht="113.05" hidden="false" customHeight="false" outlineLevel="0" collapsed="false">
      <c r="B567" s="1" t="str">
        <f aca="false">UPPER(Prowler!C567)</f>
        <v/>
      </c>
      <c r="C567" s="1" t="str">
        <f aca="false">IF(Prowler!AL567&lt;&gt;"",Prowler!AL567, _xlfn.CONCAT("arn:aws:ec2:",F567,":",Prowler!AD567,":instance/",Prowler!AK567))</f>
        <v>arn:aws:ec2:::instance/</v>
      </c>
      <c r="F567" s="1" t="n">
        <f aca="false">Prowler!AJ567</f>
        <v>0</v>
      </c>
      <c r="G567" s="1" t="n">
        <f aca="false">Prowler!E567</f>
        <v>0</v>
      </c>
      <c r="H567" s="4" t="str">
        <f aca="false">_xlfn.TEXTJOIN(CHAR(10),1, Prowler!O567:Q567)</f>
        <v/>
      </c>
      <c r="I567" s="4" t="str">
        <f aca="false">_xlfn.TEXTJOIN(CHAR(10),1, Prowler!R567:W567)</f>
        <v/>
      </c>
      <c r="J567" s="1" t="n">
        <f aca="false">IF(Prowler!K567="critical",10, IF(Prowler!K567="high",7, IF(Prowler!K567="medium",5, 1)))</f>
        <v>1</v>
      </c>
      <c r="M567" s="3" t="n">
        <f aca="false">Prowler!A567</f>
        <v>0</v>
      </c>
      <c r="O567" s="4" t="str">
        <f aca="false">IF(Prowler!N567="", "", _xlfn.CONCAT("[{""key"":""",SUBSTITUTE(SUBSTITUTE(Prowler!N567,"=",""",""value"":""")," | ","""},{""key"":"""),"""}]"))</f>
        <v/>
      </c>
    </row>
    <row r="568" customFormat="false" ht="113.05" hidden="false" customHeight="false" outlineLevel="0" collapsed="false">
      <c r="B568" s="1" t="str">
        <f aca="false">UPPER(Prowler!C568)</f>
        <v/>
      </c>
      <c r="C568" s="1" t="str">
        <f aca="false">IF(Prowler!AL568&lt;&gt;"",Prowler!AL568, _xlfn.CONCAT("arn:aws:ec2:",F568,":",Prowler!AD568,":instance/",Prowler!AK568))</f>
        <v>arn:aws:ec2:::instance/</v>
      </c>
      <c r="F568" s="1" t="n">
        <f aca="false">Prowler!AJ568</f>
        <v>0</v>
      </c>
      <c r="G568" s="1" t="n">
        <f aca="false">Prowler!E568</f>
        <v>0</v>
      </c>
      <c r="H568" s="4" t="str">
        <f aca="false">_xlfn.TEXTJOIN(CHAR(10),1, Prowler!O568:Q568)</f>
        <v/>
      </c>
      <c r="I568" s="4" t="str">
        <f aca="false">_xlfn.TEXTJOIN(CHAR(10),1, Prowler!R568:W568)</f>
        <v/>
      </c>
      <c r="J568" s="1" t="n">
        <f aca="false">IF(Prowler!K568="critical",10, IF(Prowler!K568="high",7, IF(Prowler!K568="medium",5, 1)))</f>
        <v>1</v>
      </c>
      <c r="M568" s="3" t="n">
        <f aca="false">Prowler!A568</f>
        <v>0</v>
      </c>
      <c r="O568" s="4" t="str">
        <f aca="false">IF(Prowler!N568="", "", _xlfn.CONCAT("[{""key"":""",SUBSTITUTE(SUBSTITUTE(Prowler!N568,"=",""",""value"":""")," | ","""},{""key"":"""),"""}]"))</f>
        <v/>
      </c>
    </row>
    <row r="569" customFormat="false" ht="113.05" hidden="false" customHeight="false" outlineLevel="0" collapsed="false">
      <c r="B569" s="1" t="str">
        <f aca="false">UPPER(Prowler!C569)</f>
        <v/>
      </c>
      <c r="C569" s="1" t="str">
        <f aca="false">IF(Prowler!AL569&lt;&gt;"",Prowler!AL569, _xlfn.CONCAT("arn:aws:ec2:",F569,":",Prowler!AD569,":instance/",Prowler!AK569))</f>
        <v>arn:aws:ec2:::instance/</v>
      </c>
      <c r="F569" s="1" t="n">
        <f aca="false">Prowler!AJ569</f>
        <v>0</v>
      </c>
      <c r="G569" s="1" t="n">
        <f aca="false">Prowler!E569</f>
        <v>0</v>
      </c>
      <c r="H569" s="4" t="str">
        <f aca="false">_xlfn.TEXTJOIN(CHAR(10),1, Prowler!O569:Q569)</f>
        <v/>
      </c>
      <c r="I569" s="4" t="str">
        <f aca="false">_xlfn.TEXTJOIN(CHAR(10),1, Prowler!R569:W569)</f>
        <v/>
      </c>
      <c r="J569" s="1" t="n">
        <f aca="false">IF(Prowler!K569="critical",10, IF(Prowler!K569="high",7, IF(Prowler!K569="medium",5, 1)))</f>
        <v>1</v>
      </c>
      <c r="M569" s="3" t="n">
        <f aca="false">Prowler!A569</f>
        <v>0</v>
      </c>
      <c r="O569" s="4" t="str">
        <f aca="false">IF(Prowler!N569="", "", _xlfn.CONCAT("[{""key"":""",SUBSTITUTE(SUBSTITUTE(Prowler!N569,"=",""",""value"":""")," | ","""},{""key"":"""),"""}]"))</f>
        <v/>
      </c>
    </row>
    <row r="570" customFormat="false" ht="113.05" hidden="false" customHeight="false" outlineLevel="0" collapsed="false">
      <c r="B570" s="1" t="str">
        <f aca="false">UPPER(Prowler!C570)</f>
        <v/>
      </c>
      <c r="C570" s="1" t="str">
        <f aca="false">IF(Prowler!AL570&lt;&gt;"",Prowler!AL570, _xlfn.CONCAT("arn:aws:ec2:",F570,":",Prowler!AD570,":instance/",Prowler!AK570))</f>
        <v>arn:aws:ec2:::instance/</v>
      </c>
      <c r="F570" s="1" t="n">
        <f aca="false">Prowler!AJ570</f>
        <v>0</v>
      </c>
      <c r="G570" s="1" t="n">
        <f aca="false">Prowler!E570</f>
        <v>0</v>
      </c>
      <c r="H570" s="4" t="str">
        <f aca="false">_xlfn.TEXTJOIN(CHAR(10),1, Prowler!O570:Q570)</f>
        <v/>
      </c>
      <c r="I570" s="4" t="str">
        <f aca="false">_xlfn.TEXTJOIN(CHAR(10),1, Prowler!R570:W570)</f>
        <v/>
      </c>
      <c r="J570" s="1" t="n">
        <f aca="false">IF(Prowler!K570="critical",10, IF(Prowler!K570="high",7, IF(Prowler!K570="medium",5, 1)))</f>
        <v>1</v>
      </c>
      <c r="M570" s="3" t="n">
        <f aca="false">Prowler!A570</f>
        <v>0</v>
      </c>
      <c r="O570" s="4" t="str">
        <f aca="false">IF(Prowler!N570="", "", _xlfn.CONCAT("[{""key"":""",SUBSTITUTE(SUBSTITUTE(Prowler!N570,"=",""",""value"":""")," | ","""},{""key"":"""),"""}]"))</f>
        <v/>
      </c>
    </row>
    <row r="571" customFormat="false" ht="113.05" hidden="false" customHeight="false" outlineLevel="0" collapsed="false">
      <c r="B571" s="1" t="str">
        <f aca="false">UPPER(Prowler!C571)</f>
        <v/>
      </c>
      <c r="C571" s="1" t="str">
        <f aca="false">IF(Prowler!AL571&lt;&gt;"",Prowler!AL571, _xlfn.CONCAT("arn:aws:ec2:",F571,":",Prowler!AD571,":instance/",Prowler!AK571))</f>
        <v>arn:aws:ec2:::instance/</v>
      </c>
      <c r="F571" s="1" t="n">
        <f aca="false">Prowler!AJ571</f>
        <v>0</v>
      </c>
      <c r="G571" s="1" t="n">
        <f aca="false">Prowler!E571</f>
        <v>0</v>
      </c>
      <c r="H571" s="4" t="str">
        <f aca="false">_xlfn.TEXTJOIN(CHAR(10),1, Prowler!O571:Q571)</f>
        <v/>
      </c>
      <c r="I571" s="4" t="str">
        <f aca="false">_xlfn.TEXTJOIN(CHAR(10),1, Prowler!R571:W571)</f>
        <v/>
      </c>
      <c r="J571" s="1" t="n">
        <f aca="false">IF(Prowler!K571="critical",10, IF(Prowler!K571="high",7, IF(Prowler!K571="medium",5, 1)))</f>
        <v>1</v>
      </c>
      <c r="M571" s="3" t="n">
        <f aca="false">Prowler!A571</f>
        <v>0</v>
      </c>
      <c r="O571" s="4" t="str">
        <f aca="false">IF(Prowler!N571="", "", _xlfn.CONCAT("[{""key"":""",SUBSTITUTE(SUBSTITUTE(Prowler!N571,"=",""",""value"":""")," | ","""},{""key"":"""),"""}]"))</f>
        <v/>
      </c>
    </row>
    <row r="572" customFormat="false" ht="113.05" hidden="false" customHeight="false" outlineLevel="0" collapsed="false">
      <c r="B572" s="1" t="str">
        <f aca="false">UPPER(Prowler!C572)</f>
        <v/>
      </c>
      <c r="C572" s="1" t="str">
        <f aca="false">IF(Prowler!AL572&lt;&gt;"",Prowler!AL572, _xlfn.CONCAT("arn:aws:ec2:",F572,":",Prowler!AD572,":instance/",Prowler!AK572))</f>
        <v>arn:aws:ec2:::instance/</v>
      </c>
      <c r="F572" s="1" t="n">
        <f aca="false">Prowler!AJ572</f>
        <v>0</v>
      </c>
      <c r="G572" s="1" t="n">
        <f aca="false">Prowler!E572</f>
        <v>0</v>
      </c>
      <c r="H572" s="4" t="str">
        <f aca="false">_xlfn.TEXTJOIN(CHAR(10),1, Prowler!O572:Q572)</f>
        <v/>
      </c>
      <c r="I572" s="4" t="str">
        <f aca="false">_xlfn.TEXTJOIN(CHAR(10),1, Prowler!R572:W572)</f>
        <v/>
      </c>
      <c r="J572" s="1" t="n">
        <f aca="false">IF(Prowler!K572="critical",10, IF(Prowler!K572="high",7, IF(Prowler!K572="medium",5, 1)))</f>
        <v>1</v>
      </c>
      <c r="M572" s="3" t="n">
        <f aca="false">Prowler!A572</f>
        <v>0</v>
      </c>
      <c r="O572" s="4" t="str">
        <f aca="false">IF(Prowler!N572="", "", _xlfn.CONCAT("[{""key"":""",SUBSTITUTE(SUBSTITUTE(Prowler!N572,"=",""",""value"":""")," | ","""},{""key"":"""),"""}]"))</f>
        <v/>
      </c>
    </row>
    <row r="573" customFormat="false" ht="113.05" hidden="false" customHeight="false" outlineLevel="0" collapsed="false">
      <c r="B573" s="1" t="str">
        <f aca="false">UPPER(Prowler!C573)</f>
        <v/>
      </c>
      <c r="C573" s="1" t="str">
        <f aca="false">IF(Prowler!AL573&lt;&gt;"",Prowler!AL573, _xlfn.CONCAT("arn:aws:ec2:",F573,":",Prowler!AD573,":instance/",Prowler!AK573))</f>
        <v>arn:aws:ec2:::instance/</v>
      </c>
      <c r="F573" s="1" t="n">
        <f aca="false">Prowler!AJ573</f>
        <v>0</v>
      </c>
      <c r="G573" s="1" t="n">
        <f aca="false">Prowler!E573</f>
        <v>0</v>
      </c>
      <c r="H573" s="4" t="str">
        <f aca="false">_xlfn.TEXTJOIN(CHAR(10),1, Prowler!O573:Q573)</f>
        <v/>
      </c>
      <c r="I573" s="4" t="str">
        <f aca="false">_xlfn.TEXTJOIN(CHAR(10),1, Prowler!R573:W573)</f>
        <v/>
      </c>
      <c r="J573" s="1" t="n">
        <f aca="false">IF(Prowler!K573="critical",10, IF(Prowler!K573="high",7, IF(Prowler!K573="medium",5, 1)))</f>
        <v>1</v>
      </c>
      <c r="M573" s="3" t="n">
        <f aca="false">Prowler!A573</f>
        <v>0</v>
      </c>
      <c r="O573" s="4" t="str">
        <f aca="false">IF(Prowler!N573="", "", _xlfn.CONCAT("[{""key"":""",SUBSTITUTE(SUBSTITUTE(Prowler!N573,"=",""",""value"":""")," | ","""},{""key"":"""),"""}]"))</f>
        <v/>
      </c>
    </row>
    <row r="574" customFormat="false" ht="113.05" hidden="false" customHeight="false" outlineLevel="0" collapsed="false">
      <c r="B574" s="1" t="str">
        <f aca="false">UPPER(Prowler!C574)</f>
        <v/>
      </c>
      <c r="C574" s="1" t="str">
        <f aca="false">IF(Prowler!AL574&lt;&gt;"",Prowler!AL574, _xlfn.CONCAT("arn:aws:ec2:",F574,":",Prowler!AD574,":instance/",Prowler!AK574))</f>
        <v>arn:aws:ec2:::instance/</v>
      </c>
      <c r="F574" s="1" t="n">
        <f aca="false">Prowler!AJ574</f>
        <v>0</v>
      </c>
      <c r="G574" s="1" t="n">
        <f aca="false">Prowler!E574</f>
        <v>0</v>
      </c>
      <c r="H574" s="4" t="str">
        <f aca="false">_xlfn.TEXTJOIN(CHAR(10),1, Prowler!O574:Q574)</f>
        <v/>
      </c>
      <c r="I574" s="4" t="str">
        <f aca="false">_xlfn.TEXTJOIN(CHAR(10),1, Prowler!R574:W574)</f>
        <v/>
      </c>
      <c r="J574" s="1" t="n">
        <f aca="false">IF(Prowler!K574="critical",10, IF(Prowler!K574="high",7, IF(Prowler!K574="medium",5, 1)))</f>
        <v>1</v>
      </c>
      <c r="M574" s="3" t="n">
        <f aca="false">Prowler!A574</f>
        <v>0</v>
      </c>
      <c r="O574" s="4" t="str">
        <f aca="false">IF(Prowler!N574="", "", _xlfn.CONCAT("[{""key"":""",SUBSTITUTE(SUBSTITUTE(Prowler!N574,"=",""",""value"":""")," | ","""},{""key"":"""),"""}]"))</f>
        <v/>
      </c>
    </row>
    <row r="575" customFormat="false" ht="113.05" hidden="false" customHeight="false" outlineLevel="0" collapsed="false">
      <c r="B575" s="1" t="str">
        <f aca="false">UPPER(Prowler!C575)</f>
        <v/>
      </c>
      <c r="C575" s="1" t="str">
        <f aca="false">IF(Prowler!AL575&lt;&gt;"",Prowler!AL575, _xlfn.CONCAT("arn:aws:ec2:",F575,":",Prowler!AD575,":instance/",Prowler!AK575))</f>
        <v>arn:aws:ec2:::instance/</v>
      </c>
      <c r="F575" s="1" t="n">
        <f aca="false">Prowler!AJ575</f>
        <v>0</v>
      </c>
      <c r="G575" s="1" t="n">
        <f aca="false">Prowler!E575</f>
        <v>0</v>
      </c>
      <c r="H575" s="4" t="str">
        <f aca="false">_xlfn.TEXTJOIN(CHAR(10),1, Prowler!O575:Q575)</f>
        <v/>
      </c>
      <c r="I575" s="4" t="str">
        <f aca="false">_xlfn.TEXTJOIN(CHAR(10),1, Prowler!R575:W575)</f>
        <v/>
      </c>
      <c r="J575" s="1" t="n">
        <f aca="false">IF(Prowler!K575="critical",10, IF(Prowler!K575="high",7, IF(Prowler!K575="medium",5, 1)))</f>
        <v>1</v>
      </c>
      <c r="M575" s="3" t="n">
        <f aca="false">Prowler!A575</f>
        <v>0</v>
      </c>
      <c r="O575" s="4" t="str">
        <f aca="false">IF(Prowler!N575="", "", _xlfn.CONCAT("[{""key"":""",SUBSTITUTE(SUBSTITUTE(Prowler!N575,"=",""",""value"":""")," | ","""},{""key"":"""),"""}]"))</f>
        <v/>
      </c>
    </row>
    <row r="576" customFormat="false" ht="113.05" hidden="false" customHeight="false" outlineLevel="0" collapsed="false">
      <c r="B576" s="1" t="str">
        <f aca="false">UPPER(Prowler!C576)</f>
        <v/>
      </c>
      <c r="C576" s="1" t="str">
        <f aca="false">IF(Prowler!AL576&lt;&gt;"",Prowler!AL576, _xlfn.CONCAT("arn:aws:ec2:",F576,":",Prowler!AD576,":instance/",Prowler!AK576))</f>
        <v>arn:aws:ec2:::instance/</v>
      </c>
      <c r="F576" s="1" t="n">
        <f aca="false">Prowler!AJ576</f>
        <v>0</v>
      </c>
      <c r="G576" s="1" t="n">
        <f aca="false">Prowler!E576</f>
        <v>0</v>
      </c>
      <c r="H576" s="4" t="str">
        <f aca="false">_xlfn.TEXTJOIN(CHAR(10),1, Prowler!O576:Q576)</f>
        <v/>
      </c>
      <c r="I576" s="4" t="str">
        <f aca="false">_xlfn.TEXTJOIN(CHAR(10),1, Prowler!R576:W576)</f>
        <v/>
      </c>
      <c r="J576" s="1" t="n">
        <f aca="false">IF(Prowler!K576="critical",10, IF(Prowler!K576="high",7, IF(Prowler!K576="medium",5, 1)))</f>
        <v>1</v>
      </c>
      <c r="M576" s="3" t="n">
        <f aca="false">Prowler!A576</f>
        <v>0</v>
      </c>
      <c r="O576" s="4" t="str">
        <f aca="false">IF(Prowler!N576="", "", _xlfn.CONCAT("[{""key"":""",SUBSTITUTE(SUBSTITUTE(Prowler!N576,"=",""",""value"":""")," | ","""},{""key"":"""),"""}]"))</f>
        <v/>
      </c>
    </row>
    <row r="577" customFormat="false" ht="113.05" hidden="false" customHeight="false" outlineLevel="0" collapsed="false">
      <c r="B577" s="1" t="str">
        <f aca="false">UPPER(Prowler!C577)</f>
        <v/>
      </c>
      <c r="C577" s="1" t="str">
        <f aca="false">IF(Prowler!AL577&lt;&gt;"",Prowler!AL577, _xlfn.CONCAT("arn:aws:ec2:",F577,":",Prowler!AD577,":instance/",Prowler!AK577))</f>
        <v>arn:aws:ec2:::instance/</v>
      </c>
      <c r="F577" s="1" t="n">
        <f aca="false">Prowler!AJ577</f>
        <v>0</v>
      </c>
      <c r="G577" s="1" t="n">
        <f aca="false">Prowler!E577</f>
        <v>0</v>
      </c>
      <c r="H577" s="4" t="str">
        <f aca="false">_xlfn.TEXTJOIN(CHAR(10),1, Prowler!O577:Q577)</f>
        <v/>
      </c>
      <c r="I577" s="4" t="str">
        <f aca="false">_xlfn.TEXTJOIN(CHAR(10),1, Prowler!R577:W577)</f>
        <v/>
      </c>
      <c r="J577" s="1" t="n">
        <f aca="false">IF(Prowler!K577="critical",10, IF(Prowler!K577="high",7, IF(Prowler!K577="medium",5, 1)))</f>
        <v>1</v>
      </c>
      <c r="M577" s="3" t="n">
        <f aca="false">Prowler!A577</f>
        <v>0</v>
      </c>
      <c r="O577" s="4" t="str">
        <f aca="false">IF(Prowler!N577="", "", _xlfn.CONCAT("[{""key"":""",SUBSTITUTE(SUBSTITUTE(Prowler!N577,"=",""",""value"":""")," | ","""},{""key"":"""),"""}]"))</f>
        <v/>
      </c>
    </row>
    <row r="578" customFormat="false" ht="68.3" hidden="false" customHeight="false" outlineLevel="0" collapsed="false">
      <c r="B578" s="1" t="str">
        <f aca="false">UPPER(Prowler!C578)</f>
        <v/>
      </c>
      <c r="C578" s="1" t="str">
        <f aca="false">IF(Prowler!AL578&lt;&gt;"",Prowler!AL578, _xlfn.CONCAT("arn:aws:ec2:",F578,":",Prowler!AD578,":instance/",Prowler!AK578))</f>
        <v>arn:aws:ec2:::instance/</v>
      </c>
      <c r="F578" s="1" t="n">
        <f aca="false">Prowler!AJ578</f>
        <v>0</v>
      </c>
      <c r="G578" s="1" t="n">
        <f aca="false">Prowler!E578</f>
        <v>0</v>
      </c>
      <c r="H578" s="4" t="str">
        <f aca="false">_xlfn.TEXTJOIN(CHAR(10),1, Prowler!O578:Q578)</f>
        <v/>
      </c>
      <c r="I578" s="4" t="str">
        <f aca="false">_xlfn.TEXTJOIN(CHAR(10),1, Prowler!R578:W578)</f>
        <v/>
      </c>
      <c r="J578" s="1" t="n">
        <f aca="false">IF(Prowler!K578="critical",10, IF(Prowler!K578="high",7, IF(Prowler!K578="medium",5, 1)))</f>
        <v>1</v>
      </c>
      <c r="M578" s="3" t="n">
        <f aca="false">Prowler!A578</f>
        <v>0</v>
      </c>
      <c r="O578" s="4" t="str">
        <f aca="false">IF(Prowler!N578="", "", _xlfn.CONCAT("[{""key"":""",SUBSTITUTE(SUBSTITUTE(Prowler!N578,"=",""",""value"":""")," | ","""},{""key"":"""),"""}]"))</f>
        <v/>
      </c>
    </row>
    <row r="579" customFormat="false" ht="68.3" hidden="false" customHeight="false" outlineLevel="0" collapsed="false">
      <c r="B579" s="1" t="str">
        <f aca="false">UPPER(Prowler!C579)</f>
        <v/>
      </c>
      <c r="C579" s="1" t="str">
        <f aca="false">IF(Prowler!AL579&lt;&gt;"",Prowler!AL579, _xlfn.CONCAT("arn:aws:ec2:",F579,":",Prowler!AD579,":instance/",Prowler!AK579))</f>
        <v>arn:aws:ec2:::instance/</v>
      </c>
      <c r="F579" s="1" t="n">
        <f aca="false">Prowler!AJ579</f>
        <v>0</v>
      </c>
      <c r="G579" s="1" t="n">
        <f aca="false">Prowler!E579</f>
        <v>0</v>
      </c>
      <c r="H579" s="4" t="str">
        <f aca="false">_xlfn.TEXTJOIN(CHAR(10),1, Prowler!O579:Q579)</f>
        <v/>
      </c>
      <c r="I579" s="4" t="str">
        <f aca="false">_xlfn.TEXTJOIN(CHAR(10),1, Prowler!R579:W579)</f>
        <v/>
      </c>
      <c r="J579" s="1" t="n">
        <f aca="false">IF(Prowler!K579="critical",10, IF(Prowler!K579="high",7, IF(Prowler!K579="medium",5, 1)))</f>
        <v>1</v>
      </c>
      <c r="M579" s="3" t="n">
        <f aca="false">Prowler!A579</f>
        <v>0</v>
      </c>
      <c r="O579" s="4" t="str">
        <f aca="false">IF(Prowler!N579="", "", _xlfn.CONCAT("[{""key"":""",SUBSTITUTE(SUBSTITUTE(Prowler!N579,"=",""",""value"":""")," | ","""},{""key"":"""),"""}]"))</f>
        <v/>
      </c>
    </row>
    <row r="580" customFormat="false" ht="79.75" hidden="false" customHeight="false" outlineLevel="0" collapsed="false">
      <c r="B580" s="1" t="str">
        <f aca="false">UPPER(Prowler!C580)</f>
        <v/>
      </c>
      <c r="C580" s="1" t="str">
        <f aca="false">IF(Prowler!AL580&lt;&gt;"",Prowler!AL580, _xlfn.CONCAT("arn:aws:ec2:",F580,":",Prowler!AD580,":instance/",Prowler!AK580))</f>
        <v>arn:aws:ec2:::instance/</v>
      </c>
      <c r="F580" s="1" t="n">
        <f aca="false">Prowler!AJ580</f>
        <v>0</v>
      </c>
      <c r="G580" s="1" t="n">
        <f aca="false">Prowler!E580</f>
        <v>0</v>
      </c>
      <c r="H580" s="4" t="str">
        <f aca="false">_xlfn.TEXTJOIN(CHAR(10),1, Prowler!O580:Q580)</f>
        <v/>
      </c>
      <c r="I580" s="4" t="str">
        <f aca="false">_xlfn.TEXTJOIN(CHAR(10),1, Prowler!R580:W580)</f>
        <v/>
      </c>
      <c r="J580" s="1" t="n">
        <f aca="false">IF(Prowler!K580="critical",10, IF(Prowler!K580="high",7, IF(Prowler!K580="medium",5, 1)))</f>
        <v>1</v>
      </c>
      <c r="M580" s="3" t="n">
        <f aca="false">Prowler!A580</f>
        <v>0</v>
      </c>
      <c r="O580" s="4" t="str">
        <f aca="false">IF(Prowler!N580="", "", _xlfn.CONCAT("[{""key"":""",SUBSTITUTE(SUBSTITUTE(Prowler!N580,"=",""",""value"":""")," | ","""},{""key"":"""),"""}]"))</f>
        <v/>
      </c>
    </row>
    <row r="581" customFormat="false" ht="79.75" hidden="false" customHeight="false" outlineLevel="0" collapsed="false">
      <c r="B581" s="1" t="str">
        <f aca="false">UPPER(Prowler!C581)</f>
        <v/>
      </c>
      <c r="C581" s="1" t="str">
        <f aca="false">IF(Prowler!AL581&lt;&gt;"",Prowler!AL581, _xlfn.CONCAT("arn:aws:ec2:",F581,":",Prowler!AD581,":instance/",Prowler!AK581))</f>
        <v>arn:aws:ec2:::instance/</v>
      </c>
      <c r="F581" s="1" t="n">
        <f aca="false">Prowler!AJ581</f>
        <v>0</v>
      </c>
      <c r="G581" s="1" t="n">
        <f aca="false">Prowler!E581</f>
        <v>0</v>
      </c>
      <c r="H581" s="4" t="str">
        <f aca="false">_xlfn.TEXTJOIN(CHAR(10),1, Prowler!O581:Q581)</f>
        <v/>
      </c>
      <c r="I581" s="4" t="str">
        <f aca="false">_xlfn.TEXTJOIN(CHAR(10),1, Prowler!R581:W581)</f>
        <v/>
      </c>
      <c r="J581" s="1" t="n">
        <f aca="false">IF(Prowler!K581="critical",10, IF(Prowler!K581="high",7, IF(Prowler!K581="medium",5, 1)))</f>
        <v>1</v>
      </c>
      <c r="M581" s="3" t="n">
        <f aca="false">Prowler!A581</f>
        <v>0</v>
      </c>
      <c r="O581" s="4" t="str">
        <f aca="false">IF(Prowler!N581="", "", _xlfn.CONCAT("[{""key"":""",SUBSTITUTE(SUBSTITUTE(Prowler!N581,"=",""",""value"":""")," | ","""},{""key"":"""),"""}]"))</f>
        <v/>
      </c>
    </row>
    <row r="582" customFormat="false" ht="79.75" hidden="false" customHeight="false" outlineLevel="0" collapsed="false">
      <c r="B582" s="1" t="str">
        <f aca="false">UPPER(Prowler!C582)</f>
        <v/>
      </c>
      <c r="C582" s="1" t="str">
        <f aca="false">IF(Prowler!AL582&lt;&gt;"",Prowler!AL582, _xlfn.CONCAT("arn:aws:ec2:",F582,":",Prowler!AD582,":instance/",Prowler!AK582))</f>
        <v>arn:aws:ec2:::instance/</v>
      </c>
      <c r="F582" s="1" t="n">
        <f aca="false">Prowler!AJ582</f>
        <v>0</v>
      </c>
      <c r="G582" s="1" t="n">
        <f aca="false">Prowler!E582</f>
        <v>0</v>
      </c>
      <c r="H582" s="4" t="str">
        <f aca="false">_xlfn.TEXTJOIN(CHAR(10),1, Prowler!O582:Q582)</f>
        <v/>
      </c>
      <c r="I582" s="4" t="str">
        <f aca="false">_xlfn.TEXTJOIN(CHAR(10),1, Prowler!R582:W582)</f>
        <v/>
      </c>
      <c r="J582" s="1" t="n">
        <f aca="false">IF(Prowler!K582="critical",10, IF(Prowler!K582="high",7, IF(Prowler!K582="medium",5, 1)))</f>
        <v>1</v>
      </c>
      <c r="M582" s="3" t="n">
        <f aca="false">Prowler!A582</f>
        <v>0</v>
      </c>
      <c r="O582" s="4" t="str">
        <f aca="false">IF(Prowler!N582="", "", _xlfn.CONCAT("[{""key"":""",SUBSTITUTE(SUBSTITUTE(Prowler!N582,"=",""",""value"":""")," | ","""},{""key"":"""),"""}]"))</f>
        <v/>
      </c>
    </row>
    <row r="583" customFormat="false" ht="90.7" hidden="false" customHeight="false" outlineLevel="0" collapsed="false">
      <c r="B583" s="1" t="str">
        <f aca="false">UPPER(Prowler!C583)</f>
        <v/>
      </c>
      <c r="C583" s="1" t="str">
        <f aca="false">IF(Prowler!AL583&lt;&gt;"",Prowler!AL583, _xlfn.CONCAT("arn:aws:ec2:",F583,":",Prowler!AD583,":instance/",Prowler!AK583))</f>
        <v>arn:aws:ec2:::instance/</v>
      </c>
      <c r="F583" s="1" t="n">
        <f aca="false">Prowler!AJ583</f>
        <v>0</v>
      </c>
      <c r="G583" s="1" t="n">
        <f aca="false">Prowler!E583</f>
        <v>0</v>
      </c>
      <c r="H583" s="4" t="str">
        <f aca="false">_xlfn.TEXTJOIN(CHAR(10),1, Prowler!O583:Q583)</f>
        <v/>
      </c>
      <c r="I583" s="4" t="str">
        <f aca="false">_xlfn.TEXTJOIN(CHAR(10),1, Prowler!R583:W583)</f>
        <v/>
      </c>
      <c r="J583" s="1" t="n">
        <f aca="false">IF(Prowler!K583="critical",10, IF(Prowler!K583="high",7, IF(Prowler!K583="medium",5, 1)))</f>
        <v>1</v>
      </c>
      <c r="M583" s="3" t="n">
        <f aca="false">Prowler!A583</f>
        <v>0</v>
      </c>
      <c r="O583" s="4" t="str">
        <f aca="false">IF(Prowler!N583="", "", _xlfn.CONCAT("[{""key"":""",SUBSTITUTE(SUBSTITUTE(Prowler!N583,"=",""",""value"":""")," | ","""},{""key"":"""),"""}]"))</f>
        <v/>
      </c>
    </row>
    <row r="584" customFormat="false" ht="79.75" hidden="false" customHeight="false" outlineLevel="0" collapsed="false">
      <c r="B584" s="1" t="str">
        <f aca="false">UPPER(Prowler!C584)</f>
        <v/>
      </c>
      <c r="C584" s="1" t="str">
        <f aca="false">IF(Prowler!AL584&lt;&gt;"",Prowler!AL584, _xlfn.CONCAT("arn:aws:ec2:",F584,":",Prowler!AD584,":instance/",Prowler!AK584))</f>
        <v>arn:aws:ec2:::instance/</v>
      </c>
      <c r="F584" s="1" t="n">
        <f aca="false">Prowler!AJ584</f>
        <v>0</v>
      </c>
      <c r="G584" s="1" t="n">
        <f aca="false">Prowler!E584</f>
        <v>0</v>
      </c>
      <c r="H584" s="4" t="str">
        <f aca="false">_xlfn.TEXTJOIN(CHAR(10),1, Prowler!O584:Q584)</f>
        <v/>
      </c>
      <c r="I584" s="4" t="str">
        <f aca="false">_xlfn.TEXTJOIN(CHAR(10),1, Prowler!R584:W584)</f>
        <v/>
      </c>
      <c r="J584" s="1" t="n">
        <f aca="false">IF(Prowler!K584="critical",10, IF(Prowler!K584="high",7, IF(Prowler!K584="medium",5, 1)))</f>
        <v>1</v>
      </c>
      <c r="M584" s="3" t="n">
        <f aca="false">Prowler!A584</f>
        <v>0</v>
      </c>
      <c r="O584" s="4" t="str">
        <f aca="false">IF(Prowler!N584="", "", _xlfn.CONCAT("[{""key"":""",SUBSTITUTE(SUBSTITUTE(Prowler!N584,"=",""",""value"":""")," | ","""},{""key"":"""),"""}]"))</f>
        <v/>
      </c>
    </row>
    <row r="585" customFormat="false" ht="79.75" hidden="false" customHeight="false" outlineLevel="0" collapsed="false">
      <c r="B585" s="1" t="str">
        <f aca="false">UPPER(Prowler!C585)</f>
        <v/>
      </c>
      <c r="C585" s="1" t="str">
        <f aca="false">IF(Prowler!AL585&lt;&gt;"",Prowler!AL585, _xlfn.CONCAT("arn:aws:ec2:",F585,":",Prowler!AD585,":instance/",Prowler!AK585))</f>
        <v>arn:aws:ec2:::instance/</v>
      </c>
      <c r="F585" s="1" t="n">
        <f aca="false">Prowler!AJ585</f>
        <v>0</v>
      </c>
      <c r="G585" s="1" t="n">
        <f aca="false">Prowler!E585</f>
        <v>0</v>
      </c>
      <c r="H585" s="4" t="str">
        <f aca="false">_xlfn.TEXTJOIN(CHAR(10),1, Prowler!O585:Q585)</f>
        <v/>
      </c>
      <c r="I585" s="4" t="str">
        <f aca="false">_xlfn.TEXTJOIN(CHAR(10),1, Prowler!R585:W585)</f>
        <v/>
      </c>
      <c r="J585" s="1" t="n">
        <f aca="false">IF(Prowler!K585="critical",10, IF(Prowler!K585="high",7, IF(Prowler!K585="medium",5, 1)))</f>
        <v>1</v>
      </c>
      <c r="M585" s="3" t="n">
        <f aca="false">Prowler!A585</f>
        <v>0</v>
      </c>
      <c r="O585" s="4" t="str">
        <f aca="false">IF(Prowler!N585="", "", _xlfn.CONCAT("[{""key"":""",SUBSTITUTE(SUBSTITUTE(Prowler!N585,"=",""",""value"":""")," | ","""},{""key"":"""),"""}]"))</f>
        <v/>
      </c>
    </row>
    <row r="586" customFormat="false" ht="79.75" hidden="false" customHeight="false" outlineLevel="0" collapsed="false">
      <c r="B586" s="1" t="str">
        <f aca="false">UPPER(Prowler!C586)</f>
        <v/>
      </c>
      <c r="C586" s="1" t="str">
        <f aca="false">IF(Prowler!AL586&lt;&gt;"",Prowler!AL586, _xlfn.CONCAT("arn:aws:ec2:",F586,":",Prowler!AD586,":instance/",Prowler!AK586))</f>
        <v>arn:aws:ec2:::instance/</v>
      </c>
      <c r="F586" s="1" t="n">
        <f aca="false">Prowler!AJ586</f>
        <v>0</v>
      </c>
      <c r="G586" s="1" t="n">
        <f aca="false">Prowler!E586</f>
        <v>0</v>
      </c>
      <c r="H586" s="4" t="str">
        <f aca="false">_xlfn.TEXTJOIN(CHAR(10),1, Prowler!O586:Q586)</f>
        <v/>
      </c>
      <c r="I586" s="4" t="str">
        <f aca="false">_xlfn.TEXTJOIN(CHAR(10),1, Prowler!R586:W586)</f>
        <v/>
      </c>
      <c r="J586" s="1" t="n">
        <f aca="false">IF(Prowler!K586="critical",10, IF(Prowler!K586="high",7, IF(Prowler!K586="medium",5, 1)))</f>
        <v>1</v>
      </c>
      <c r="M586" s="3" t="n">
        <f aca="false">Prowler!A586</f>
        <v>0</v>
      </c>
      <c r="O586" s="4" t="str">
        <f aca="false">IF(Prowler!N586="", "", _xlfn.CONCAT("[{""key"":""",SUBSTITUTE(SUBSTITUTE(Prowler!N586,"=",""",""value"":""")," | ","""},{""key"":"""),"""}]"))</f>
        <v/>
      </c>
    </row>
    <row r="587" customFormat="false" ht="68.3" hidden="false" customHeight="false" outlineLevel="0" collapsed="false">
      <c r="B587" s="1" t="str">
        <f aca="false">UPPER(Prowler!C587)</f>
        <v/>
      </c>
      <c r="C587" s="1" t="str">
        <f aca="false">IF(Prowler!AL587&lt;&gt;"",Prowler!AL587, _xlfn.CONCAT("arn:aws:ec2:",F587,":",Prowler!AD587,":instance/",Prowler!AK587))</f>
        <v>arn:aws:ec2:::instance/</v>
      </c>
      <c r="F587" s="1" t="n">
        <f aca="false">Prowler!AJ587</f>
        <v>0</v>
      </c>
      <c r="G587" s="1" t="n">
        <f aca="false">Prowler!E587</f>
        <v>0</v>
      </c>
      <c r="H587" s="4" t="str">
        <f aca="false">_xlfn.TEXTJOIN(CHAR(10),1, Prowler!O587:Q587)</f>
        <v/>
      </c>
      <c r="I587" s="4" t="str">
        <f aca="false">_xlfn.TEXTJOIN(CHAR(10),1, Prowler!R587:W587)</f>
        <v/>
      </c>
      <c r="J587" s="1" t="n">
        <f aca="false">IF(Prowler!K587="critical",10, IF(Prowler!K587="high",7, IF(Prowler!K587="medium",5, 1)))</f>
        <v>1</v>
      </c>
      <c r="M587" s="3" t="n">
        <f aca="false">Prowler!A587</f>
        <v>0</v>
      </c>
      <c r="O587" s="4" t="str">
        <f aca="false">IF(Prowler!N587="", "", _xlfn.CONCAT("[{""key"":""",SUBSTITUTE(SUBSTITUTE(Prowler!N587,"=",""",""value"":""")," | ","""},{""key"":"""),"""}]"))</f>
        <v/>
      </c>
    </row>
    <row r="588" customFormat="false" ht="68.3" hidden="false" customHeight="false" outlineLevel="0" collapsed="false">
      <c r="B588" s="1" t="str">
        <f aca="false">UPPER(Prowler!C588)</f>
        <v/>
      </c>
      <c r="C588" s="1" t="str">
        <f aca="false">IF(Prowler!AL588&lt;&gt;"",Prowler!AL588, _xlfn.CONCAT("arn:aws:ec2:",F588,":",Prowler!AD588,":instance/",Prowler!AK588))</f>
        <v>arn:aws:ec2:::instance/</v>
      </c>
      <c r="F588" s="1" t="n">
        <f aca="false">Prowler!AJ588</f>
        <v>0</v>
      </c>
      <c r="G588" s="1" t="n">
        <f aca="false">Prowler!E588</f>
        <v>0</v>
      </c>
      <c r="H588" s="4" t="str">
        <f aca="false">_xlfn.TEXTJOIN(CHAR(10),1, Prowler!O588:Q588)</f>
        <v/>
      </c>
      <c r="I588" s="4" t="str">
        <f aca="false">_xlfn.TEXTJOIN(CHAR(10),1, Prowler!R588:W588)</f>
        <v/>
      </c>
      <c r="J588" s="1" t="n">
        <f aca="false">IF(Prowler!K588="critical",10, IF(Prowler!K588="high",7, IF(Prowler!K588="medium",5, 1)))</f>
        <v>1</v>
      </c>
      <c r="M588" s="3" t="n">
        <f aca="false">Prowler!A588</f>
        <v>0</v>
      </c>
      <c r="O588" s="4" t="str">
        <f aca="false">IF(Prowler!N588="", "", _xlfn.CONCAT("[{""key"":""",SUBSTITUTE(SUBSTITUTE(Prowler!N588,"=",""",""value"":""")," | ","""},{""key"":"""),"""}]"))</f>
        <v/>
      </c>
    </row>
    <row r="589" customFormat="false" ht="68.3" hidden="false" customHeight="false" outlineLevel="0" collapsed="false">
      <c r="B589" s="1" t="str">
        <f aca="false">UPPER(Prowler!C589)</f>
        <v/>
      </c>
      <c r="C589" s="1" t="str">
        <f aca="false">IF(Prowler!AL589&lt;&gt;"",Prowler!AL589, _xlfn.CONCAT("arn:aws:ec2:",F589,":",Prowler!AD589,":instance/",Prowler!AK589))</f>
        <v>arn:aws:ec2:::instance/</v>
      </c>
      <c r="F589" s="1" t="n">
        <f aca="false">Prowler!AJ589</f>
        <v>0</v>
      </c>
      <c r="G589" s="1" t="n">
        <f aca="false">Prowler!E589</f>
        <v>0</v>
      </c>
      <c r="H589" s="4" t="str">
        <f aca="false">_xlfn.TEXTJOIN(CHAR(10),1, Prowler!O589:Q589)</f>
        <v/>
      </c>
      <c r="I589" s="4" t="str">
        <f aca="false">_xlfn.TEXTJOIN(CHAR(10),1, Prowler!R589:W589)</f>
        <v/>
      </c>
      <c r="J589" s="1" t="n">
        <f aca="false">IF(Prowler!K589="critical",10, IF(Prowler!K589="high",7, IF(Prowler!K589="medium",5, 1)))</f>
        <v>1</v>
      </c>
      <c r="M589" s="3" t="n">
        <f aca="false">Prowler!A589</f>
        <v>0</v>
      </c>
      <c r="O589" s="4" t="str">
        <f aca="false">IF(Prowler!N589="", "", _xlfn.CONCAT("[{""key"":""",SUBSTITUTE(SUBSTITUTE(Prowler!N589,"=",""",""value"":""")," | ","""},{""key"":"""),"""}]"))</f>
        <v/>
      </c>
    </row>
    <row r="590" customFormat="false" ht="68.3" hidden="false" customHeight="false" outlineLevel="0" collapsed="false">
      <c r="B590" s="1" t="str">
        <f aca="false">UPPER(Prowler!C590)</f>
        <v/>
      </c>
      <c r="C590" s="1" t="str">
        <f aca="false">IF(Prowler!AL590&lt;&gt;"",Prowler!AL590, _xlfn.CONCAT("arn:aws:ec2:",F590,":",Prowler!AD590,":instance/",Prowler!AK590))</f>
        <v>arn:aws:ec2:::instance/</v>
      </c>
      <c r="F590" s="1" t="n">
        <f aca="false">Prowler!AJ590</f>
        <v>0</v>
      </c>
      <c r="G590" s="1" t="n">
        <f aca="false">Prowler!E590</f>
        <v>0</v>
      </c>
      <c r="H590" s="4" t="str">
        <f aca="false">_xlfn.TEXTJOIN(CHAR(10),1, Prowler!O590:Q590)</f>
        <v/>
      </c>
      <c r="I590" s="4" t="str">
        <f aca="false">_xlfn.TEXTJOIN(CHAR(10),1, Prowler!R590:W590)</f>
        <v/>
      </c>
      <c r="J590" s="1" t="n">
        <f aca="false">IF(Prowler!K590="critical",10, IF(Prowler!K590="high",7, IF(Prowler!K590="medium",5, 1)))</f>
        <v>1</v>
      </c>
      <c r="M590" s="3" t="n">
        <f aca="false">Prowler!A590</f>
        <v>0</v>
      </c>
      <c r="O590" s="4" t="str">
        <f aca="false">IF(Prowler!N590="", "", _xlfn.CONCAT("[{""key"":""",SUBSTITUTE(SUBSTITUTE(Prowler!N590,"=",""",""value"":""")," | ","""},{""key"":"""),"""}]"))</f>
        <v/>
      </c>
    </row>
    <row r="591" customFormat="false" ht="90.7" hidden="false" customHeight="false" outlineLevel="0" collapsed="false">
      <c r="B591" s="1" t="str">
        <f aca="false">UPPER(Prowler!C591)</f>
        <v/>
      </c>
      <c r="C591" s="1" t="str">
        <f aca="false">IF(Prowler!AL591&lt;&gt;"",Prowler!AL591, _xlfn.CONCAT("arn:aws:ec2:",F591,":",Prowler!AD591,":instance/",Prowler!AK591))</f>
        <v>arn:aws:ec2:::instance/</v>
      </c>
      <c r="F591" s="1" t="n">
        <f aca="false">Prowler!AJ591</f>
        <v>0</v>
      </c>
      <c r="G591" s="1" t="n">
        <f aca="false">Prowler!E591</f>
        <v>0</v>
      </c>
      <c r="H591" s="4" t="str">
        <f aca="false">_xlfn.TEXTJOIN(CHAR(10),1, Prowler!O591:Q591)</f>
        <v/>
      </c>
      <c r="I591" s="4" t="str">
        <f aca="false">_xlfn.TEXTJOIN(CHAR(10),1, Prowler!R591:W591)</f>
        <v/>
      </c>
      <c r="J591" s="1" t="n">
        <f aca="false">IF(Prowler!K591="critical",10, IF(Prowler!K591="high",7, IF(Prowler!K591="medium",5, 1)))</f>
        <v>1</v>
      </c>
      <c r="M591" s="3" t="n">
        <f aca="false">Prowler!A591</f>
        <v>0</v>
      </c>
      <c r="O591" s="4" t="str">
        <f aca="false">IF(Prowler!N591="", "", _xlfn.CONCAT("[{""key"":""",SUBSTITUTE(SUBSTITUTE(Prowler!N591,"=",""",""value"":""")," | ","""},{""key"":"""),"""}]"))</f>
        <v/>
      </c>
    </row>
    <row r="592" customFormat="false" ht="90.7" hidden="false" customHeight="false" outlineLevel="0" collapsed="false">
      <c r="B592" s="1" t="str">
        <f aca="false">UPPER(Prowler!C592)</f>
        <v/>
      </c>
      <c r="C592" s="1" t="str">
        <f aca="false">IF(Prowler!AL592&lt;&gt;"",Prowler!AL592, _xlfn.CONCAT("arn:aws:ec2:",F592,":",Prowler!AD592,":instance/",Prowler!AK592))</f>
        <v>arn:aws:ec2:::instance/</v>
      </c>
      <c r="F592" s="1" t="n">
        <f aca="false">Prowler!AJ592</f>
        <v>0</v>
      </c>
      <c r="G592" s="1" t="n">
        <f aca="false">Prowler!E592</f>
        <v>0</v>
      </c>
      <c r="H592" s="4" t="str">
        <f aca="false">_xlfn.TEXTJOIN(CHAR(10),1, Prowler!O592:Q592)</f>
        <v/>
      </c>
      <c r="I592" s="4" t="str">
        <f aca="false">_xlfn.TEXTJOIN(CHAR(10),1, Prowler!R592:W592)</f>
        <v/>
      </c>
      <c r="J592" s="1" t="n">
        <f aca="false">IF(Prowler!K592="critical",10, IF(Prowler!K592="high",7, IF(Prowler!K592="medium",5, 1)))</f>
        <v>1</v>
      </c>
      <c r="M592" s="3" t="n">
        <f aca="false">Prowler!A592</f>
        <v>0</v>
      </c>
      <c r="O592" s="4" t="str">
        <f aca="false">IF(Prowler!N592="", "", _xlfn.CONCAT("[{""key"":""",SUBSTITUTE(SUBSTITUTE(Prowler!N592,"=",""",""value"":""")," | ","""},{""key"":"""),"""}]"))</f>
        <v/>
      </c>
    </row>
    <row r="593" customFormat="false" ht="90.7" hidden="false" customHeight="false" outlineLevel="0" collapsed="false">
      <c r="B593" s="1" t="str">
        <f aca="false">UPPER(Prowler!C593)</f>
        <v/>
      </c>
      <c r="C593" s="1" t="str">
        <f aca="false">IF(Prowler!AL593&lt;&gt;"",Prowler!AL593, _xlfn.CONCAT("arn:aws:ec2:",F593,":",Prowler!AD593,":instance/",Prowler!AK593))</f>
        <v>arn:aws:ec2:::instance/</v>
      </c>
      <c r="F593" s="1" t="n">
        <f aca="false">Prowler!AJ593</f>
        <v>0</v>
      </c>
      <c r="G593" s="1" t="n">
        <f aca="false">Prowler!E593</f>
        <v>0</v>
      </c>
      <c r="H593" s="4" t="str">
        <f aca="false">_xlfn.TEXTJOIN(CHAR(10),1, Prowler!O593:Q593)</f>
        <v/>
      </c>
      <c r="I593" s="4" t="str">
        <f aca="false">_xlfn.TEXTJOIN(CHAR(10),1, Prowler!R593:W593)</f>
        <v/>
      </c>
      <c r="J593" s="1" t="n">
        <f aca="false">IF(Prowler!K593="critical",10, IF(Prowler!K593="high",7, IF(Prowler!K593="medium",5, 1)))</f>
        <v>1</v>
      </c>
      <c r="M593" s="3" t="n">
        <f aca="false">Prowler!A593</f>
        <v>0</v>
      </c>
      <c r="O593" s="4" t="str">
        <f aca="false">IF(Prowler!N593="", "", _xlfn.CONCAT("[{""key"":""",SUBSTITUTE(SUBSTITUTE(Prowler!N593,"=",""",""value"":""")," | ","""},{""key"":"""),"""}]"))</f>
        <v/>
      </c>
    </row>
    <row r="594" customFormat="false" ht="90.7" hidden="false" customHeight="false" outlineLevel="0" collapsed="false">
      <c r="B594" s="1" t="str">
        <f aca="false">UPPER(Prowler!C594)</f>
        <v/>
      </c>
      <c r="C594" s="1" t="str">
        <f aca="false">IF(Prowler!AL594&lt;&gt;"",Prowler!AL594, _xlfn.CONCAT("arn:aws:ec2:",F594,":",Prowler!AD594,":instance/",Prowler!AK594))</f>
        <v>arn:aws:ec2:::instance/</v>
      </c>
      <c r="F594" s="1" t="n">
        <f aca="false">Prowler!AJ594</f>
        <v>0</v>
      </c>
      <c r="G594" s="1" t="n">
        <f aca="false">Prowler!E594</f>
        <v>0</v>
      </c>
      <c r="H594" s="4" t="str">
        <f aca="false">_xlfn.TEXTJOIN(CHAR(10),1, Prowler!O594:Q594)</f>
        <v/>
      </c>
      <c r="I594" s="4" t="str">
        <f aca="false">_xlfn.TEXTJOIN(CHAR(10),1, Prowler!R594:W594)</f>
        <v/>
      </c>
      <c r="J594" s="1" t="n">
        <f aca="false">IF(Prowler!K594="critical",10, IF(Prowler!K594="high",7, IF(Prowler!K594="medium",5, 1)))</f>
        <v>1</v>
      </c>
      <c r="M594" s="3" t="n">
        <f aca="false">Prowler!A594</f>
        <v>0</v>
      </c>
      <c r="O594" s="4" t="str">
        <f aca="false">IF(Prowler!N594="", "", _xlfn.CONCAT("[{""key"":""",SUBSTITUTE(SUBSTITUTE(Prowler!N594,"=",""",""value"":""")," | ","""},{""key"":"""),"""}]"))</f>
        <v/>
      </c>
    </row>
    <row r="595" customFormat="false" ht="79.75" hidden="false" customHeight="false" outlineLevel="0" collapsed="false">
      <c r="B595" s="1" t="str">
        <f aca="false">UPPER(Prowler!C595)</f>
        <v/>
      </c>
      <c r="C595" s="1" t="str">
        <f aca="false">IF(Prowler!AL595&lt;&gt;"",Prowler!AL595, _xlfn.CONCAT("arn:aws:ec2:",F595,":",Prowler!AD595,":instance/",Prowler!AK595))</f>
        <v>arn:aws:ec2:::instance/</v>
      </c>
      <c r="F595" s="1" t="n">
        <f aca="false">Prowler!AJ595</f>
        <v>0</v>
      </c>
      <c r="G595" s="1" t="n">
        <f aca="false">Prowler!E595</f>
        <v>0</v>
      </c>
      <c r="H595" s="4" t="str">
        <f aca="false">_xlfn.TEXTJOIN(CHAR(10),1, Prowler!O595:Q595)</f>
        <v/>
      </c>
      <c r="I595" s="4" t="str">
        <f aca="false">_xlfn.TEXTJOIN(CHAR(10),1, Prowler!R595:W595)</f>
        <v/>
      </c>
      <c r="J595" s="1" t="n">
        <f aca="false">IF(Prowler!K595="critical",10, IF(Prowler!K595="high",7, IF(Prowler!K595="medium",5, 1)))</f>
        <v>1</v>
      </c>
      <c r="M595" s="3" t="n">
        <f aca="false">Prowler!A595</f>
        <v>0</v>
      </c>
      <c r="O595" s="4" t="str">
        <f aca="false">IF(Prowler!N595="", "", _xlfn.CONCAT("[{""key"":""",SUBSTITUTE(SUBSTITUTE(Prowler!N595,"=",""",""value"":""")," | ","""},{""key"":"""),"""}]"))</f>
        <v/>
      </c>
    </row>
    <row r="596" customFormat="false" ht="79.75" hidden="false" customHeight="false" outlineLevel="0" collapsed="false">
      <c r="B596" s="1" t="str">
        <f aca="false">UPPER(Prowler!C596)</f>
        <v/>
      </c>
      <c r="C596" s="1" t="str">
        <f aca="false">IF(Prowler!AL596&lt;&gt;"",Prowler!AL596, _xlfn.CONCAT("arn:aws:ec2:",F596,":",Prowler!AD596,":instance/",Prowler!AK596))</f>
        <v>arn:aws:ec2:::instance/</v>
      </c>
      <c r="F596" s="1" t="n">
        <f aca="false">Prowler!AJ596</f>
        <v>0</v>
      </c>
      <c r="G596" s="1" t="n">
        <f aca="false">Prowler!E596</f>
        <v>0</v>
      </c>
      <c r="H596" s="4" t="str">
        <f aca="false">_xlfn.TEXTJOIN(CHAR(10),1, Prowler!O596:Q596)</f>
        <v/>
      </c>
      <c r="I596" s="4" t="str">
        <f aca="false">_xlfn.TEXTJOIN(CHAR(10),1, Prowler!R596:W596)</f>
        <v/>
      </c>
      <c r="J596" s="1" t="n">
        <f aca="false">IF(Prowler!K596="critical",10, IF(Prowler!K596="high",7, IF(Prowler!K596="medium",5, 1)))</f>
        <v>1</v>
      </c>
      <c r="M596" s="3" t="n">
        <f aca="false">Prowler!A596</f>
        <v>0</v>
      </c>
      <c r="O596" s="4" t="str">
        <f aca="false">IF(Prowler!N596="", "", _xlfn.CONCAT("[{""key"":""",SUBSTITUTE(SUBSTITUTE(Prowler!N596,"=",""",""value"":""")," | ","""},{""key"":"""),"""}]"))</f>
        <v/>
      </c>
    </row>
    <row r="597" customFormat="false" ht="79.75" hidden="false" customHeight="false" outlineLevel="0" collapsed="false">
      <c r="B597" s="1" t="str">
        <f aca="false">UPPER(Prowler!C597)</f>
        <v/>
      </c>
      <c r="C597" s="1" t="str">
        <f aca="false">IF(Prowler!AL597&lt;&gt;"",Prowler!AL597, _xlfn.CONCAT("arn:aws:ec2:",F597,":",Prowler!AD597,":instance/",Prowler!AK597))</f>
        <v>arn:aws:ec2:::instance/</v>
      </c>
      <c r="F597" s="1" t="n">
        <f aca="false">Prowler!AJ597</f>
        <v>0</v>
      </c>
      <c r="G597" s="1" t="n">
        <f aca="false">Prowler!E597</f>
        <v>0</v>
      </c>
      <c r="H597" s="4" t="str">
        <f aca="false">_xlfn.TEXTJOIN(CHAR(10),1, Prowler!O597:Q597)</f>
        <v/>
      </c>
      <c r="I597" s="4" t="str">
        <f aca="false">_xlfn.TEXTJOIN(CHAR(10),1, Prowler!R597:W597)</f>
        <v/>
      </c>
      <c r="J597" s="1" t="n">
        <f aca="false">IF(Prowler!K597="critical",10, IF(Prowler!K597="high",7, IF(Prowler!K597="medium",5, 1)))</f>
        <v>1</v>
      </c>
      <c r="M597" s="3" t="n">
        <f aca="false">Prowler!A597</f>
        <v>0</v>
      </c>
      <c r="O597" s="4" t="str">
        <f aca="false">IF(Prowler!N597="", "", _xlfn.CONCAT("[{""key"":""",SUBSTITUTE(SUBSTITUTE(Prowler!N597,"=",""",""value"":""")," | ","""},{""key"":"""),"""}]"))</f>
        <v/>
      </c>
    </row>
    <row r="598" customFormat="false" ht="79.75" hidden="false" customHeight="false" outlineLevel="0" collapsed="false">
      <c r="B598" s="1" t="str">
        <f aca="false">UPPER(Prowler!C598)</f>
        <v/>
      </c>
      <c r="C598" s="1" t="str">
        <f aca="false">IF(Prowler!AL598&lt;&gt;"",Prowler!AL598, _xlfn.CONCAT("arn:aws:ec2:",F598,":",Prowler!AD598,":instance/",Prowler!AK598))</f>
        <v>arn:aws:ec2:::instance/</v>
      </c>
      <c r="F598" s="1" t="n">
        <f aca="false">Prowler!AJ598</f>
        <v>0</v>
      </c>
      <c r="G598" s="1" t="n">
        <f aca="false">Prowler!E598</f>
        <v>0</v>
      </c>
      <c r="H598" s="4" t="str">
        <f aca="false">_xlfn.TEXTJOIN(CHAR(10),1, Prowler!O598:Q598)</f>
        <v/>
      </c>
      <c r="I598" s="4" t="str">
        <f aca="false">_xlfn.TEXTJOIN(CHAR(10),1, Prowler!R598:W598)</f>
        <v/>
      </c>
      <c r="J598" s="1" t="n">
        <f aca="false">IF(Prowler!K598="critical",10, IF(Prowler!K598="high",7, IF(Prowler!K598="medium",5, 1)))</f>
        <v>1</v>
      </c>
      <c r="M598" s="3" t="n">
        <f aca="false">Prowler!A598</f>
        <v>0</v>
      </c>
      <c r="O598" s="4" t="str">
        <f aca="false">IF(Prowler!N598="", "", _xlfn.CONCAT("[{""key"":""",SUBSTITUTE(SUBSTITUTE(Prowler!N598,"=",""",""value"":""")," | ","""},{""key"":"""),"""}]"))</f>
        <v/>
      </c>
    </row>
    <row r="599" customFormat="false" ht="79.75" hidden="false" customHeight="false" outlineLevel="0" collapsed="false">
      <c r="B599" s="1" t="str">
        <f aca="false">UPPER(Prowler!C599)</f>
        <v/>
      </c>
      <c r="C599" s="1" t="str">
        <f aca="false">IF(Prowler!AL599&lt;&gt;"",Prowler!AL599, _xlfn.CONCAT("arn:aws:ec2:",F599,":",Prowler!AD599,":instance/",Prowler!AK599))</f>
        <v>arn:aws:ec2:::instance/</v>
      </c>
      <c r="F599" s="1" t="n">
        <f aca="false">Prowler!AJ599</f>
        <v>0</v>
      </c>
      <c r="G599" s="1" t="n">
        <f aca="false">Prowler!E599</f>
        <v>0</v>
      </c>
      <c r="H599" s="4" t="str">
        <f aca="false">_xlfn.TEXTJOIN(CHAR(10),1, Prowler!O599:Q599)</f>
        <v/>
      </c>
      <c r="I599" s="4" t="str">
        <f aca="false">_xlfn.TEXTJOIN(CHAR(10),1, Prowler!R599:W599)</f>
        <v/>
      </c>
      <c r="J599" s="1" t="n">
        <f aca="false">IF(Prowler!K599="critical",10, IF(Prowler!K599="high",7, IF(Prowler!K599="medium",5, 1)))</f>
        <v>1</v>
      </c>
      <c r="M599" s="3" t="n">
        <f aca="false">Prowler!A599</f>
        <v>0</v>
      </c>
      <c r="O599" s="4" t="str">
        <f aca="false">IF(Prowler!N599="", "", _xlfn.CONCAT("[{""key"":""",SUBSTITUTE(SUBSTITUTE(Prowler!N599,"=",""",""value"":""")," | ","""},{""key"":"""),"""}]"))</f>
        <v/>
      </c>
    </row>
    <row r="600" customFormat="false" ht="79.75" hidden="false" customHeight="false" outlineLevel="0" collapsed="false">
      <c r="B600" s="1" t="str">
        <f aca="false">UPPER(Prowler!C600)</f>
        <v/>
      </c>
      <c r="C600" s="1" t="str">
        <f aca="false">IF(Prowler!AL600&lt;&gt;"",Prowler!AL600, _xlfn.CONCAT("arn:aws:ec2:",F600,":",Prowler!AD600,":instance/",Prowler!AK600))</f>
        <v>arn:aws:ec2:::instance/</v>
      </c>
      <c r="F600" s="1" t="n">
        <f aca="false">Prowler!AJ600</f>
        <v>0</v>
      </c>
      <c r="G600" s="1" t="n">
        <f aca="false">Prowler!E600</f>
        <v>0</v>
      </c>
      <c r="H600" s="4" t="str">
        <f aca="false">_xlfn.TEXTJOIN(CHAR(10),1, Prowler!O600:Q600)</f>
        <v/>
      </c>
      <c r="I600" s="4" t="str">
        <f aca="false">_xlfn.TEXTJOIN(CHAR(10),1, Prowler!R600:W600)</f>
        <v/>
      </c>
      <c r="J600" s="1" t="n">
        <f aca="false">IF(Prowler!K600="critical",10, IF(Prowler!K600="high",7, IF(Prowler!K600="medium",5, 1)))</f>
        <v>1</v>
      </c>
      <c r="M600" s="3" t="n">
        <f aca="false">Prowler!A600</f>
        <v>0</v>
      </c>
      <c r="O600" s="4" t="str">
        <f aca="false">IF(Prowler!N600="", "", _xlfn.CONCAT("[{""key"":""",SUBSTITUTE(SUBSTITUTE(Prowler!N600,"=",""",""value"":""")," | ","""},{""key"":"""),"""}]"))</f>
        <v/>
      </c>
    </row>
    <row r="601" customFormat="false" ht="79.75" hidden="false" customHeight="false" outlineLevel="0" collapsed="false">
      <c r="B601" s="1" t="str">
        <f aca="false">UPPER(Prowler!C601)</f>
        <v/>
      </c>
      <c r="C601" s="1" t="str">
        <f aca="false">IF(Prowler!AL601&lt;&gt;"",Prowler!AL601, _xlfn.CONCAT("arn:aws:ec2:",F601,":",Prowler!AD601,":instance/",Prowler!AK601))</f>
        <v>arn:aws:ec2:::instance/</v>
      </c>
      <c r="F601" s="1" t="n">
        <f aca="false">Prowler!AJ601</f>
        <v>0</v>
      </c>
      <c r="G601" s="1" t="n">
        <f aca="false">Prowler!E601</f>
        <v>0</v>
      </c>
      <c r="H601" s="4" t="str">
        <f aca="false">_xlfn.TEXTJOIN(CHAR(10),1, Prowler!O601:Q601)</f>
        <v/>
      </c>
      <c r="I601" s="4" t="str">
        <f aca="false">_xlfn.TEXTJOIN(CHAR(10),1, Prowler!R601:W601)</f>
        <v/>
      </c>
      <c r="J601" s="1" t="n">
        <f aca="false">IF(Prowler!K601="critical",10, IF(Prowler!K601="high",7, IF(Prowler!K601="medium",5, 1)))</f>
        <v>1</v>
      </c>
      <c r="M601" s="3" t="n">
        <f aca="false">Prowler!A601</f>
        <v>0</v>
      </c>
      <c r="O601" s="4" t="str">
        <f aca="false">IF(Prowler!N601="", "", _xlfn.CONCAT("[{""key"":""",SUBSTITUTE(SUBSTITUTE(Prowler!N601,"=",""",""value"":""")," | ","""},{""key"":"""),"""}]"))</f>
        <v/>
      </c>
    </row>
    <row r="602" customFormat="false" ht="79.75" hidden="false" customHeight="false" outlineLevel="0" collapsed="false">
      <c r="B602" s="1" t="str">
        <f aca="false">UPPER(Prowler!C602)</f>
        <v/>
      </c>
      <c r="C602" s="1" t="str">
        <f aca="false">IF(Prowler!AL602&lt;&gt;"",Prowler!AL602, _xlfn.CONCAT("arn:aws:ec2:",F602,":",Prowler!AD602,":instance/",Prowler!AK602))</f>
        <v>arn:aws:ec2:::instance/</v>
      </c>
      <c r="F602" s="1" t="n">
        <f aca="false">Prowler!AJ602</f>
        <v>0</v>
      </c>
      <c r="G602" s="1" t="n">
        <f aca="false">Prowler!E602</f>
        <v>0</v>
      </c>
      <c r="H602" s="4" t="str">
        <f aca="false">_xlfn.TEXTJOIN(CHAR(10),1, Prowler!O602:Q602)</f>
        <v/>
      </c>
      <c r="I602" s="4" t="str">
        <f aca="false">_xlfn.TEXTJOIN(CHAR(10),1, Prowler!R602:W602)</f>
        <v/>
      </c>
      <c r="J602" s="1" t="n">
        <f aca="false">IF(Prowler!K602="critical",10, IF(Prowler!K602="high",7, IF(Prowler!K602="medium",5, 1)))</f>
        <v>1</v>
      </c>
      <c r="M602" s="3" t="n">
        <f aca="false">Prowler!A602</f>
        <v>0</v>
      </c>
      <c r="O602" s="4" t="str">
        <f aca="false">IF(Prowler!N602="", "", _xlfn.CONCAT("[{""key"":""",SUBSTITUTE(SUBSTITUTE(Prowler!N602,"=",""",""value"":""")," | ","""},{""key"":"""),"""}]"))</f>
        <v/>
      </c>
    </row>
    <row r="603" customFormat="false" ht="79.75" hidden="false" customHeight="false" outlineLevel="0" collapsed="false">
      <c r="B603" s="1" t="str">
        <f aca="false">UPPER(Prowler!C603)</f>
        <v/>
      </c>
      <c r="C603" s="1" t="str">
        <f aca="false">IF(Prowler!AL603&lt;&gt;"",Prowler!AL603, _xlfn.CONCAT("arn:aws:ec2:",F603,":",Prowler!AD603,":instance/",Prowler!AK603))</f>
        <v>arn:aws:ec2:::instance/</v>
      </c>
      <c r="F603" s="1" t="n">
        <f aca="false">Prowler!AJ603</f>
        <v>0</v>
      </c>
      <c r="G603" s="1" t="n">
        <f aca="false">Prowler!E603</f>
        <v>0</v>
      </c>
      <c r="H603" s="4" t="str">
        <f aca="false">_xlfn.TEXTJOIN(CHAR(10),1, Prowler!O603:Q603)</f>
        <v/>
      </c>
      <c r="I603" s="4" t="str">
        <f aca="false">_xlfn.TEXTJOIN(CHAR(10),1, Prowler!R603:W603)</f>
        <v/>
      </c>
      <c r="J603" s="1" t="n">
        <f aca="false">IF(Prowler!K603="critical",10, IF(Prowler!K603="high",7, IF(Prowler!K603="medium",5, 1)))</f>
        <v>1</v>
      </c>
      <c r="M603" s="3" t="n">
        <f aca="false">Prowler!A603</f>
        <v>0</v>
      </c>
      <c r="O603" s="4" t="str">
        <f aca="false">IF(Prowler!N603="", "", _xlfn.CONCAT("[{""key"":""",SUBSTITUTE(SUBSTITUTE(Prowler!N603,"=",""",""value"":""")," | ","""},{""key"":"""),"""}]"))</f>
        <v/>
      </c>
    </row>
    <row r="604" customFormat="false" ht="79.75" hidden="false" customHeight="false" outlineLevel="0" collapsed="false">
      <c r="B604" s="1" t="str">
        <f aca="false">UPPER(Prowler!C604)</f>
        <v/>
      </c>
      <c r="C604" s="1" t="str">
        <f aca="false">IF(Prowler!AL604&lt;&gt;"",Prowler!AL604, _xlfn.CONCAT("arn:aws:ec2:",F604,":",Prowler!AD604,":instance/",Prowler!AK604))</f>
        <v>arn:aws:ec2:::instance/</v>
      </c>
      <c r="F604" s="1" t="n">
        <f aca="false">Prowler!AJ604</f>
        <v>0</v>
      </c>
      <c r="G604" s="1" t="n">
        <f aca="false">Prowler!E604</f>
        <v>0</v>
      </c>
      <c r="H604" s="4" t="str">
        <f aca="false">_xlfn.TEXTJOIN(CHAR(10),1, Prowler!O604:Q604)</f>
        <v/>
      </c>
      <c r="I604" s="4" t="str">
        <f aca="false">_xlfn.TEXTJOIN(CHAR(10),1, Prowler!R604:W604)</f>
        <v/>
      </c>
      <c r="J604" s="1" t="n">
        <f aca="false">IF(Prowler!K604="critical",10, IF(Prowler!K604="high",7, IF(Prowler!K604="medium",5, 1)))</f>
        <v>1</v>
      </c>
      <c r="M604" s="3" t="n">
        <f aca="false">Prowler!A604</f>
        <v>0</v>
      </c>
      <c r="O604" s="4" t="str">
        <f aca="false">IF(Prowler!N604="", "", _xlfn.CONCAT("[{""key"":""",SUBSTITUTE(SUBSTITUTE(Prowler!N604,"=",""",""value"":""")," | ","""},{""key"":"""),"""}]"))</f>
        <v/>
      </c>
    </row>
    <row r="605" customFormat="false" ht="79.75" hidden="false" customHeight="false" outlineLevel="0" collapsed="false">
      <c r="B605" s="1" t="str">
        <f aca="false">UPPER(Prowler!C605)</f>
        <v/>
      </c>
      <c r="C605" s="1" t="str">
        <f aca="false">IF(Prowler!AL605&lt;&gt;"",Prowler!AL605, _xlfn.CONCAT("arn:aws:ec2:",F605,":",Prowler!AD605,":instance/",Prowler!AK605))</f>
        <v>arn:aws:ec2:::instance/</v>
      </c>
      <c r="F605" s="1" t="n">
        <f aca="false">Prowler!AJ605</f>
        <v>0</v>
      </c>
      <c r="G605" s="1" t="n">
        <f aca="false">Prowler!E605</f>
        <v>0</v>
      </c>
      <c r="H605" s="4" t="str">
        <f aca="false">_xlfn.TEXTJOIN(CHAR(10),1, Prowler!O605:Q605)</f>
        <v/>
      </c>
      <c r="I605" s="4" t="str">
        <f aca="false">_xlfn.TEXTJOIN(CHAR(10),1, Prowler!R605:W605)</f>
        <v/>
      </c>
      <c r="J605" s="1" t="n">
        <f aca="false">IF(Prowler!K605="critical",10, IF(Prowler!K605="high",7, IF(Prowler!K605="medium",5, 1)))</f>
        <v>1</v>
      </c>
      <c r="M605" s="3" t="n">
        <f aca="false">Prowler!A605</f>
        <v>0</v>
      </c>
      <c r="O605" s="4" t="str">
        <f aca="false">IF(Prowler!N605="", "", _xlfn.CONCAT("[{""key"":""",SUBSTITUTE(SUBSTITUTE(Prowler!N605,"=",""",""value"":""")," | ","""},{""key"":"""),"""}]"))</f>
        <v/>
      </c>
    </row>
    <row r="606" customFormat="false" ht="79.75" hidden="false" customHeight="false" outlineLevel="0" collapsed="false">
      <c r="B606" s="1" t="str">
        <f aca="false">UPPER(Prowler!C606)</f>
        <v/>
      </c>
      <c r="C606" s="1" t="str">
        <f aca="false">IF(Prowler!AL606&lt;&gt;"",Prowler!AL606, _xlfn.CONCAT("arn:aws:ec2:",F606,":",Prowler!AD606,":instance/",Prowler!AK606))</f>
        <v>arn:aws:ec2:::instance/</v>
      </c>
      <c r="F606" s="1" t="n">
        <f aca="false">Prowler!AJ606</f>
        <v>0</v>
      </c>
      <c r="G606" s="1" t="n">
        <f aca="false">Prowler!E606</f>
        <v>0</v>
      </c>
      <c r="H606" s="4" t="str">
        <f aca="false">_xlfn.TEXTJOIN(CHAR(10),1, Prowler!O606:Q606)</f>
        <v/>
      </c>
      <c r="I606" s="4" t="str">
        <f aca="false">_xlfn.TEXTJOIN(CHAR(10),1, Prowler!R606:W606)</f>
        <v/>
      </c>
      <c r="J606" s="1" t="n">
        <f aca="false">IF(Prowler!K606="critical",10, IF(Prowler!K606="high",7, IF(Prowler!K606="medium",5, 1)))</f>
        <v>1</v>
      </c>
      <c r="M606" s="3" t="n">
        <f aca="false">Prowler!A606</f>
        <v>0</v>
      </c>
      <c r="O606" s="4" t="str">
        <f aca="false">IF(Prowler!N606="", "", _xlfn.CONCAT("[{""key"":""",SUBSTITUTE(SUBSTITUTE(Prowler!N606,"=",""",""value"":""")," | ","""},{""key"":"""),"""}]"))</f>
        <v/>
      </c>
    </row>
    <row r="607" customFormat="false" ht="79.75" hidden="false" customHeight="false" outlineLevel="0" collapsed="false">
      <c r="B607" s="1" t="str">
        <f aca="false">UPPER(Prowler!C607)</f>
        <v/>
      </c>
      <c r="C607" s="1" t="str">
        <f aca="false">IF(Prowler!AL607&lt;&gt;"",Prowler!AL607, _xlfn.CONCAT("arn:aws:ec2:",F607,":",Prowler!AD607,":instance/",Prowler!AK607))</f>
        <v>arn:aws:ec2:::instance/</v>
      </c>
      <c r="F607" s="1" t="n">
        <f aca="false">Prowler!AJ607</f>
        <v>0</v>
      </c>
      <c r="G607" s="1" t="n">
        <f aca="false">Prowler!E607</f>
        <v>0</v>
      </c>
      <c r="H607" s="4" t="str">
        <f aca="false">_xlfn.TEXTJOIN(CHAR(10),1, Prowler!O607:Q607)</f>
        <v/>
      </c>
      <c r="I607" s="4" t="str">
        <f aca="false">_xlfn.TEXTJOIN(CHAR(10),1, Prowler!R607:W607)</f>
        <v/>
      </c>
      <c r="J607" s="1" t="n">
        <f aca="false">IF(Prowler!K607="critical",10, IF(Prowler!K607="high",7, IF(Prowler!K607="medium",5, 1)))</f>
        <v>1</v>
      </c>
      <c r="M607" s="3" t="n">
        <f aca="false">Prowler!A607</f>
        <v>0</v>
      </c>
      <c r="O607" s="4" t="str">
        <f aca="false">IF(Prowler!N607="", "", _xlfn.CONCAT("[{""key"":""",SUBSTITUTE(SUBSTITUTE(Prowler!N607,"=",""",""value"":""")," | ","""},{""key"":"""),"""}]"))</f>
        <v/>
      </c>
    </row>
    <row r="608" customFormat="false" ht="79.75" hidden="false" customHeight="false" outlineLevel="0" collapsed="false">
      <c r="B608" s="1" t="str">
        <f aca="false">UPPER(Prowler!C608)</f>
        <v/>
      </c>
      <c r="C608" s="1" t="str">
        <f aca="false">IF(Prowler!AL608&lt;&gt;"",Prowler!AL608, _xlfn.CONCAT("arn:aws:ec2:",F608,":",Prowler!AD608,":instance/",Prowler!AK608))</f>
        <v>arn:aws:ec2:::instance/</v>
      </c>
      <c r="F608" s="1" t="n">
        <f aca="false">Prowler!AJ608</f>
        <v>0</v>
      </c>
      <c r="G608" s="1" t="n">
        <f aca="false">Prowler!E608</f>
        <v>0</v>
      </c>
      <c r="H608" s="4" t="str">
        <f aca="false">_xlfn.TEXTJOIN(CHAR(10),1, Prowler!O608:Q608)</f>
        <v/>
      </c>
      <c r="I608" s="4" t="str">
        <f aca="false">_xlfn.TEXTJOIN(CHAR(10),1, Prowler!R608:W608)</f>
        <v/>
      </c>
      <c r="J608" s="1" t="n">
        <f aca="false">IF(Prowler!K608="critical",10, IF(Prowler!K608="high",7, IF(Prowler!K608="medium",5, 1)))</f>
        <v>1</v>
      </c>
      <c r="M608" s="3" t="n">
        <f aca="false">Prowler!A608</f>
        <v>0</v>
      </c>
      <c r="O608" s="4" t="str">
        <f aca="false">IF(Prowler!N608="", "", _xlfn.CONCAT("[{""key"":""",SUBSTITUTE(SUBSTITUTE(Prowler!N608,"=",""",""value"":""")," | ","""},{""key"":"""),"""}]"))</f>
        <v/>
      </c>
    </row>
    <row r="609" customFormat="false" ht="79.75" hidden="false" customHeight="false" outlineLevel="0" collapsed="false">
      <c r="B609" s="1" t="str">
        <f aca="false">UPPER(Prowler!C609)</f>
        <v/>
      </c>
      <c r="C609" s="1" t="str">
        <f aca="false">IF(Prowler!AL609&lt;&gt;"",Prowler!AL609, _xlfn.CONCAT("arn:aws:ec2:",F609,":",Prowler!AD609,":instance/",Prowler!AK609))</f>
        <v>arn:aws:ec2:::instance/</v>
      </c>
      <c r="F609" s="1" t="n">
        <f aca="false">Prowler!AJ609</f>
        <v>0</v>
      </c>
      <c r="G609" s="1" t="n">
        <f aca="false">Prowler!E609</f>
        <v>0</v>
      </c>
      <c r="H609" s="4" t="str">
        <f aca="false">_xlfn.TEXTJOIN(CHAR(10),1, Prowler!O609:Q609)</f>
        <v/>
      </c>
      <c r="I609" s="4" t="str">
        <f aca="false">_xlfn.TEXTJOIN(CHAR(10),1, Prowler!R609:W609)</f>
        <v/>
      </c>
      <c r="J609" s="1" t="n">
        <f aca="false">IF(Prowler!K609="critical",10, IF(Prowler!K609="high",7, IF(Prowler!K609="medium",5, 1)))</f>
        <v>1</v>
      </c>
      <c r="M609" s="3" t="n">
        <f aca="false">Prowler!A609</f>
        <v>0</v>
      </c>
      <c r="O609" s="4" t="str">
        <f aca="false">IF(Prowler!N609="", "", _xlfn.CONCAT("[{""key"":""",SUBSTITUTE(SUBSTITUTE(Prowler!N609,"=",""",""value"":""")," | ","""},{""key"":"""),"""}]"))</f>
        <v/>
      </c>
    </row>
    <row r="610" customFormat="false" ht="79.75" hidden="false" customHeight="false" outlineLevel="0" collapsed="false">
      <c r="B610" s="1" t="str">
        <f aca="false">UPPER(Prowler!C610)</f>
        <v/>
      </c>
      <c r="C610" s="1" t="str">
        <f aca="false">IF(Prowler!AL610&lt;&gt;"",Prowler!AL610, _xlfn.CONCAT("arn:aws:ec2:",F610,":",Prowler!AD610,":instance/",Prowler!AK610))</f>
        <v>arn:aws:ec2:::instance/</v>
      </c>
      <c r="F610" s="1" t="n">
        <f aca="false">Prowler!AJ610</f>
        <v>0</v>
      </c>
      <c r="G610" s="1" t="n">
        <f aca="false">Prowler!E610</f>
        <v>0</v>
      </c>
      <c r="H610" s="4" t="str">
        <f aca="false">_xlfn.TEXTJOIN(CHAR(10),1, Prowler!O610:Q610)</f>
        <v/>
      </c>
      <c r="I610" s="4" t="str">
        <f aca="false">_xlfn.TEXTJOIN(CHAR(10),1, Prowler!R610:W610)</f>
        <v/>
      </c>
      <c r="J610" s="1" t="n">
        <f aca="false">IF(Prowler!K610="critical",10, IF(Prowler!K610="high",7, IF(Prowler!K610="medium",5, 1)))</f>
        <v>1</v>
      </c>
      <c r="M610" s="3" t="n">
        <f aca="false">Prowler!A610</f>
        <v>0</v>
      </c>
      <c r="O610" s="4" t="str">
        <f aca="false">IF(Prowler!N610="", "", _xlfn.CONCAT("[{""key"":""",SUBSTITUTE(SUBSTITUTE(Prowler!N610,"=",""",""value"":""")," | ","""},{""key"":"""),"""}]"))</f>
        <v/>
      </c>
    </row>
    <row r="611" customFormat="false" ht="79.75" hidden="false" customHeight="false" outlineLevel="0" collapsed="false">
      <c r="B611" s="1" t="str">
        <f aca="false">UPPER(Prowler!C611)</f>
        <v/>
      </c>
      <c r="C611" s="1" t="str">
        <f aca="false">IF(Prowler!AL611&lt;&gt;"",Prowler!AL611, _xlfn.CONCAT("arn:aws:ec2:",F611,":",Prowler!AD611,":instance/",Prowler!AK611))</f>
        <v>arn:aws:ec2:::instance/</v>
      </c>
      <c r="F611" s="1" t="n">
        <f aca="false">Prowler!AJ611</f>
        <v>0</v>
      </c>
      <c r="G611" s="1" t="n">
        <f aca="false">Prowler!E611</f>
        <v>0</v>
      </c>
      <c r="H611" s="4" t="str">
        <f aca="false">_xlfn.TEXTJOIN(CHAR(10),1, Prowler!O611:Q611)</f>
        <v/>
      </c>
      <c r="I611" s="4" t="str">
        <f aca="false">_xlfn.TEXTJOIN(CHAR(10),1, Prowler!R611:W611)</f>
        <v/>
      </c>
      <c r="J611" s="1" t="n">
        <f aca="false">IF(Prowler!K611="critical",10, IF(Prowler!K611="high",7, IF(Prowler!K611="medium",5, 1)))</f>
        <v>1</v>
      </c>
      <c r="M611" s="3" t="n">
        <f aca="false">Prowler!A611</f>
        <v>0</v>
      </c>
      <c r="O611" s="4" t="str">
        <f aca="false">IF(Prowler!N611="", "", _xlfn.CONCAT("[{""key"":""",SUBSTITUTE(SUBSTITUTE(Prowler!N611,"=",""",""value"":""")," | ","""},{""key"":"""),"""}]"))</f>
        <v/>
      </c>
    </row>
    <row r="612" customFormat="false" ht="90.7" hidden="false" customHeight="false" outlineLevel="0" collapsed="false">
      <c r="B612" s="1" t="str">
        <f aca="false">UPPER(Prowler!C612)</f>
        <v/>
      </c>
      <c r="C612" s="1" t="str">
        <f aca="false">IF(Prowler!AL612&lt;&gt;"",Prowler!AL612, _xlfn.CONCAT("arn:aws:ec2:",F612,":",Prowler!AD612,":instance/",Prowler!AK612))</f>
        <v>arn:aws:ec2:::instance/</v>
      </c>
      <c r="F612" s="1" t="n">
        <f aca="false">Prowler!AJ612</f>
        <v>0</v>
      </c>
      <c r="G612" s="1" t="n">
        <f aca="false">Prowler!E612</f>
        <v>0</v>
      </c>
      <c r="H612" s="4" t="str">
        <f aca="false">_xlfn.TEXTJOIN(CHAR(10),1, Prowler!O612:Q612)</f>
        <v/>
      </c>
      <c r="I612" s="4" t="str">
        <f aca="false">_xlfn.TEXTJOIN(CHAR(10),1, Prowler!R612:W612)</f>
        <v/>
      </c>
      <c r="J612" s="1" t="n">
        <f aca="false">IF(Prowler!K612="critical",10, IF(Prowler!K612="high",7, IF(Prowler!K612="medium",5, 1)))</f>
        <v>1</v>
      </c>
      <c r="M612" s="3" t="n">
        <f aca="false">Prowler!A612</f>
        <v>0</v>
      </c>
      <c r="O612" s="4" t="str">
        <f aca="false">IF(Prowler!N612="", "", _xlfn.CONCAT("[{""key"":""",SUBSTITUTE(SUBSTITUTE(Prowler!N612,"=",""",""value"":""")," | ","""},{""key"":"""),"""}]"))</f>
        <v/>
      </c>
    </row>
    <row r="613" customFormat="false" ht="124.55" hidden="false" customHeight="false" outlineLevel="0" collapsed="false">
      <c r="B613" s="1" t="str">
        <f aca="false">UPPER(Prowler!C613)</f>
        <v/>
      </c>
      <c r="C613" s="1" t="str">
        <f aca="false">IF(Prowler!AL613&lt;&gt;"",Prowler!AL613, _xlfn.CONCAT("arn:aws:ec2:",F613,":",Prowler!AD613,":instance/",Prowler!AK613))</f>
        <v>arn:aws:ec2:::instance/</v>
      </c>
      <c r="F613" s="1" t="n">
        <f aca="false">Prowler!AJ613</f>
        <v>0</v>
      </c>
      <c r="G613" s="1" t="n">
        <f aca="false">Prowler!E613</f>
        <v>0</v>
      </c>
      <c r="H613" s="4" t="str">
        <f aca="false">_xlfn.TEXTJOIN(CHAR(10),1, Prowler!O613:Q613)</f>
        <v/>
      </c>
      <c r="I613" s="4" t="str">
        <f aca="false">_xlfn.TEXTJOIN(CHAR(10),1, Prowler!R613:W613)</f>
        <v/>
      </c>
      <c r="J613" s="1" t="n">
        <f aca="false">IF(Prowler!K613="critical",10, IF(Prowler!K613="high",7, IF(Prowler!K613="medium",5, 1)))</f>
        <v>1</v>
      </c>
      <c r="M613" s="3" t="n">
        <f aca="false">Prowler!A613</f>
        <v>0</v>
      </c>
      <c r="O613" s="4" t="str">
        <f aca="false">IF(Prowler!N613="", "", _xlfn.CONCAT("[{""key"":""",SUBSTITUTE(SUBSTITUTE(Prowler!N613,"=",""",""value"":""")," | ","""},{""key"":"""),"""}]"))</f>
        <v/>
      </c>
    </row>
    <row r="614" customFormat="false" ht="124.55" hidden="false" customHeight="false" outlineLevel="0" collapsed="false">
      <c r="B614" s="1" t="str">
        <f aca="false">UPPER(Prowler!C614)</f>
        <v/>
      </c>
      <c r="C614" s="1" t="str">
        <f aca="false">IF(Prowler!AL614&lt;&gt;"",Prowler!AL614, _xlfn.CONCAT("arn:aws:ec2:",F614,":",Prowler!AD614,":instance/",Prowler!AK614))</f>
        <v>arn:aws:ec2:::instance/</v>
      </c>
      <c r="F614" s="1" t="n">
        <f aca="false">Prowler!AJ614</f>
        <v>0</v>
      </c>
      <c r="G614" s="1" t="n">
        <f aca="false">Prowler!E614</f>
        <v>0</v>
      </c>
      <c r="H614" s="4" t="str">
        <f aca="false">_xlfn.TEXTJOIN(CHAR(10),1, Prowler!O614:Q614)</f>
        <v/>
      </c>
      <c r="I614" s="4" t="str">
        <f aca="false">_xlfn.TEXTJOIN(CHAR(10),1, Prowler!R614:W614)</f>
        <v/>
      </c>
      <c r="J614" s="1" t="n">
        <f aca="false">IF(Prowler!K614="critical",10, IF(Prowler!K614="high",7, IF(Prowler!K614="medium",5, 1)))</f>
        <v>1</v>
      </c>
      <c r="M614" s="3" t="n">
        <f aca="false">Prowler!A614</f>
        <v>0</v>
      </c>
      <c r="O614" s="4" t="str">
        <f aca="false">IF(Prowler!N614="", "", _xlfn.CONCAT("[{""key"":""",SUBSTITUTE(SUBSTITUTE(Prowler!N614,"=",""",""value"":""")," | ","""},{""key"":"""),"""}]"))</f>
        <v/>
      </c>
    </row>
    <row r="615" customFormat="false" ht="124.55" hidden="false" customHeight="false" outlineLevel="0" collapsed="false">
      <c r="B615" s="1" t="str">
        <f aca="false">UPPER(Prowler!C615)</f>
        <v/>
      </c>
      <c r="C615" s="1" t="str">
        <f aca="false">IF(Prowler!AL615&lt;&gt;"",Prowler!AL615, _xlfn.CONCAT("arn:aws:ec2:",F615,":",Prowler!AD615,":instance/",Prowler!AK615))</f>
        <v>arn:aws:ec2:::instance/</v>
      </c>
      <c r="F615" s="1" t="n">
        <f aca="false">Prowler!AJ615</f>
        <v>0</v>
      </c>
      <c r="G615" s="1" t="n">
        <f aca="false">Prowler!E615</f>
        <v>0</v>
      </c>
      <c r="H615" s="4" t="str">
        <f aca="false">_xlfn.TEXTJOIN(CHAR(10),1, Prowler!O615:Q615)</f>
        <v/>
      </c>
      <c r="I615" s="4" t="str">
        <f aca="false">_xlfn.TEXTJOIN(CHAR(10),1, Prowler!R615:W615)</f>
        <v/>
      </c>
      <c r="J615" s="1" t="n">
        <f aca="false">IF(Prowler!K615="critical",10, IF(Prowler!K615="high",7, IF(Prowler!K615="medium",5, 1)))</f>
        <v>1</v>
      </c>
      <c r="M615" s="3" t="n">
        <f aca="false">Prowler!A615</f>
        <v>0</v>
      </c>
      <c r="O615" s="4" t="str">
        <f aca="false">IF(Prowler!N615="", "", _xlfn.CONCAT("[{""key"":""",SUBSTITUTE(SUBSTITUTE(Prowler!N615,"=",""",""value"":""")," | ","""},{""key"":"""),"""}]"))</f>
        <v/>
      </c>
    </row>
    <row r="616" customFormat="false" ht="124.55" hidden="false" customHeight="false" outlineLevel="0" collapsed="false">
      <c r="B616" s="1" t="str">
        <f aca="false">UPPER(Prowler!C616)</f>
        <v/>
      </c>
      <c r="C616" s="1" t="str">
        <f aca="false">IF(Prowler!AL616&lt;&gt;"",Prowler!AL616, _xlfn.CONCAT("arn:aws:ec2:",F616,":",Prowler!AD616,":instance/",Prowler!AK616))</f>
        <v>arn:aws:ec2:::instance/</v>
      </c>
      <c r="F616" s="1" t="n">
        <f aca="false">Prowler!AJ616</f>
        <v>0</v>
      </c>
      <c r="G616" s="1" t="n">
        <f aca="false">Prowler!E616</f>
        <v>0</v>
      </c>
      <c r="H616" s="4" t="str">
        <f aca="false">_xlfn.TEXTJOIN(CHAR(10),1, Prowler!O616:Q616)</f>
        <v/>
      </c>
      <c r="I616" s="4" t="str">
        <f aca="false">_xlfn.TEXTJOIN(CHAR(10),1, Prowler!R616:W616)</f>
        <v/>
      </c>
      <c r="J616" s="1" t="n">
        <f aca="false">IF(Prowler!K616="critical",10, IF(Prowler!K616="high",7, IF(Prowler!K616="medium",5, 1)))</f>
        <v>1</v>
      </c>
      <c r="M616" s="3" t="n">
        <f aca="false">Prowler!A616</f>
        <v>0</v>
      </c>
      <c r="O616" s="4" t="str">
        <f aca="false">IF(Prowler!N616="", "", _xlfn.CONCAT("[{""key"":""",SUBSTITUTE(SUBSTITUTE(Prowler!N616,"=",""",""value"":""")," | ","""},{""key"":"""),"""}]"))</f>
        <v/>
      </c>
    </row>
    <row r="617" customFormat="false" ht="124.55" hidden="false" customHeight="false" outlineLevel="0" collapsed="false">
      <c r="B617" s="1" t="str">
        <f aca="false">UPPER(Prowler!C617)</f>
        <v/>
      </c>
      <c r="C617" s="1" t="str">
        <f aca="false">IF(Prowler!AL617&lt;&gt;"",Prowler!AL617, _xlfn.CONCAT("arn:aws:ec2:",F617,":",Prowler!AD617,":instance/",Prowler!AK617))</f>
        <v>arn:aws:ec2:::instance/</v>
      </c>
      <c r="F617" s="1" t="n">
        <f aca="false">Prowler!AJ617</f>
        <v>0</v>
      </c>
      <c r="G617" s="1" t="n">
        <f aca="false">Prowler!E617</f>
        <v>0</v>
      </c>
      <c r="H617" s="4" t="str">
        <f aca="false">_xlfn.TEXTJOIN(CHAR(10),1, Prowler!O617:Q617)</f>
        <v/>
      </c>
      <c r="I617" s="4" t="str">
        <f aca="false">_xlfn.TEXTJOIN(CHAR(10),1, Prowler!R617:W617)</f>
        <v/>
      </c>
      <c r="J617" s="1" t="n">
        <f aca="false">IF(Prowler!K617="critical",10, IF(Prowler!K617="high",7, IF(Prowler!K617="medium",5, 1)))</f>
        <v>1</v>
      </c>
      <c r="M617" s="3" t="n">
        <f aca="false">Prowler!A617</f>
        <v>0</v>
      </c>
      <c r="O617" s="4" t="str">
        <f aca="false">IF(Prowler!N617="", "", _xlfn.CONCAT("[{""key"":""",SUBSTITUTE(SUBSTITUTE(Prowler!N617,"=",""",""value"":""")," | ","""},{""key"":"""),"""}]"))</f>
        <v/>
      </c>
    </row>
    <row r="618" customFormat="false" ht="124.55" hidden="false" customHeight="false" outlineLevel="0" collapsed="false">
      <c r="B618" s="1" t="str">
        <f aca="false">UPPER(Prowler!C618)</f>
        <v/>
      </c>
      <c r="C618" s="1" t="str">
        <f aca="false">IF(Prowler!AL618&lt;&gt;"",Prowler!AL618, _xlfn.CONCAT("arn:aws:ec2:",F618,":",Prowler!AD618,":instance/",Prowler!AK618))</f>
        <v>arn:aws:ec2:::instance/</v>
      </c>
      <c r="F618" s="1" t="n">
        <f aca="false">Prowler!AJ618</f>
        <v>0</v>
      </c>
      <c r="G618" s="1" t="n">
        <f aca="false">Prowler!E618</f>
        <v>0</v>
      </c>
      <c r="H618" s="4" t="str">
        <f aca="false">_xlfn.TEXTJOIN(CHAR(10),1, Prowler!O618:Q618)</f>
        <v/>
      </c>
      <c r="I618" s="4" t="str">
        <f aca="false">_xlfn.TEXTJOIN(CHAR(10),1, Prowler!R618:W618)</f>
        <v/>
      </c>
      <c r="J618" s="1" t="n">
        <f aca="false">IF(Prowler!K618="critical",10, IF(Prowler!K618="high",7, IF(Prowler!K618="medium",5, 1)))</f>
        <v>1</v>
      </c>
      <c r="M618" s="3" t="n">
        <f aca="false">Prowler!A618</f>
        <v>0</v>
      </c>
      <c r="O618" s="4" t="str">
        <f aca="false">IF(Prowler!N618="", "", _xlfn.CONCAT("[{""key"":""",SUBSTITUTE(SUBSTITUTE(Prowler!N618,"=",""",""value"":""")," | ","""},{""key"":"""),"""}]"))</f>
        <v/>
      </c>
    </row>
    <row r="619" customFormat="false" ht="124.55" hidden="false" customHeight="false" outlineLevel="0" collapsed="false">
      <c r="B619" s="1" t="str">
        <f aca="false">UPPER(Prowler!C619)</f>
        <v/>
      </c>
      <c r="C619" s="1" t="str">
        <f aca="false">IF(Prowler!AL619&lt;&gt;"",Prowler!AL619, _xlfn.CONCAT("arn:aws:ec2:",F619,":",Prowler!AD619,":instance/",Prowler!AK619))</f>
        <v>arn:aws:ec2:::instance/</v>
      </c>
      <c r="F619" s="1" t="n">
        <f aca="false">Prowler!AJ619</f>
        <v>0</v>
      </c>
      <c r="G619" s="1" t="n">
        <f aca="false">Prowler!E619</f>
        <v>0</v>
      </c>
      <c r="H619" s="4" t="str">
        <f aca="false">_xlfn.TEXTJOIN(CHAR(10),1, Prowler!O619:Q619)</f>
        <v/>
      </c>
      <c r="I619" s="4" t="str">
        <f aca="false">_xlfn.TEXTJOIN(CHAR(10),1, Prowler!R619:W619)</f>
        <v/>
      </c>
      <c r="J619" s="1" t="n">
        <f aca="false">IF(Prowler!K619="critical",10, IF(Prowler!K619="high",7, IF(Prowler!K619="medium",5, 1)))</f>
        <v>1</v>
      </c>
      <c r="M619" s="3" t="n">
        <f aca="false">Prowler!A619</f>
        <v>0</v>
      </c>
      <c r="O619" s="4" t="str">
        <f aca="false">IF(Prowler!N619="", "", _xlfn.CONCAT("[{""key"":""",SUBSTITUTE(SUBSTITUTE(Prowler!N619,"=",""",""value"":""")," | ","""},{""key"":"""),"""}]"))</f>
        <v/>
      </c>
    </row>
    <row r="620" customFormat="false" ht="124.55" hidden="false" customHeight="false" outlineLevel="0" collapsed="false">
      <c r="B620" s="1" t="str">
        <f aca="false">UPPER(Prowler!C620)</f>
        <v/>
      </c>
      <c r="C620" s="1" t="str">
        <f aca="false">IF(Prowler!AL620&lt;&gt;"",Prowler!AL620, _xlfn.CONCAT("arn:aws:ec2:",F620,":",Prowler!AD620,":instance/",Prowler!AK620))</f>
        <v>arn:aws:ec2:::instance/</v>
      </c>
      <c r="F620" s="1" t="n">
        <f aca="false">Prowler!AJ620</f>
        <v>0</v>
      </c>
      <c r="G620" s="1" t="n">
        <f aca="false">Prowler!E620</f>
        <v>0</v>
      </c>
      <c r="H620" s="4" t="str">
        <f aca="false">_xlfn.TEXTJOIN(CHAR(10),1, Prowler!O620:Q620)</f>
        <v/>
      </c>
      <c r="I620" s="4" t="str">
        <f aca="false">_xlfn.TEXTJOIN(CHAR(10),1, Prowler!R620:W620)</f>
        <v/>
      </c>
      <c r="J620" s="1" t="n">
        <f aca="false">IF(Prowler!K620="critical",10, IF(Prowler!K620="high",7, IF(Prowler!K620="medium",5, 1)))</f>
        <v>1</v>
      </c>
      <c r="M620" s="3" t="n">
        <f aca="false">Prowler!A620</f>
        <v>0</v>
      </c>
      <c r="O620" s="4" t="str">
        <f aca="false">IF(Prowler!N620="", "", _xlfn.CONCAT("[{""key"":""",SUBSTITUTE(SUBSTITUTE(Prowler!N620,"=",""",""value"":""")," | ","""},{""key"":"""),"""}]"))</f>
        <v/>
      </c>
    </row>
    <row r="621" customFormat="false" ht="124.55" hidden="false" customHeight="false" outlineLevel="0" collapsed="false">
      <c r="B621" s="1" t="str">
        <f aca="false">UPPER(Prowler!C621)</f>
        <v/>
      </c>
      <c r="C621" s="1" t="str">
        <f aca="false">IF(Prowler!AL621&lt;&gt;"",Prowler!AL621, _xlfn.CONCAT("arn:aws:ec2:",F621,":",Prowler!AD621,":instance/",Prowler!AK621))</f>
        <v>arn:aws:ec2:::instance/</v>
      </c>
      <c r="F621" s="1" t="n">
        <f aca="false">Prowler!AJ621</f>
        <v>0</v>
      </c>
      <c r="G621" s="1" t="n">
        <f aca="false">Prowler!E621</f>
        <v>0</v>
      </c>
      <c r="H621" s="4" t="str">
        <f aca="false">_xlfn.TEXTJOIN(CHAR(10),1, Prowler!O621:Q621)</f>
        <v/>
      </c>
      <c r="I621" s="4" t="str">
        <f aca="false">_xlfn.TEXTJOIN(CHAR(10),1, Prowler!R621:W621)</f>
        <v/>
      </c>
      <c r="J621" s="1" t="n">
        <f aca="false">IF(Prowler!K621="critical",10, IF(Prowler!K621="high",7, IF(Prowler!K621="medium",5, 1)))</f>
        <v>1</v>
      </c>
      <c r="M621" s="3" t="n">
        <f aca="false">Prowler!A621</f>
        <v>0</v>
      </c>
      <c r="O621" s="4" t="str">
        <f aca="false">IF(Prowler!N621="", "", _xlfn.CONCAT("[{""key"":""",SUBSTITUTE(SUBSTITUTE(Prowler!N621,"=",""",""value"":""")," | ","""},{""key"":"""),"""}]"))</f>
        <v/>
      </c>
    </row>
    <row r="622" customFormat="false" ht="124.55" hidden="false" customHeight="false" outlineLevel="0" collapsed="false">
      <c r="B622" s="1" t="str">
        <f aca="false">UPPER(Prowler!C622)</f>
        <v/>
      </c>
      <c r="C622" s="1" t="str">
        <f aca="false">IF(Prowler!AL622&lt;&gt;"",Prowler!AL622, _xlfn.CONCAT("arn:aws:ec2:",F622,":",Prowler!AD622,":instance/",Prowler!AK622))</f>
        <v>arn:aws:ec2:::instance/</v>
      </c>
      <c r="F622" s="1" t="n">
        <f aca="false">Prowler!AJ622</f>
        <v>0</v>
      </c>
      <c r="G622" s="1" t="n">
        <f aca="false">Prowler!E622</f>
        <v>0</v>
      </c>
      <c r="H622" s="4" t="str">
        <f aca="false">_xlfn.TEXTJOIN(CHAR(10),1, Prowler!O622:Q622)</f>
        <v/>
      </c>
      <c r="I622" s="4" t="str">
        <f aca="false">_xlfn.TEXTJOIN(CHAR(10),1, Prowler!R622:W622)</f>
        <v/>
      </c>
      <c r="J622" s="1" t="n">
        <f aca="false">IF(Prowler!K622="critical",10, IF(Prowler!K622="high",7, IF(Prowler!K622="medium",5, 1)))</f>
        <v>1</v>
      </c>
      <c r="M622" s="3" t="n">
        <f aca="false">Prowler!A622</f>
        <v>0</v>
      </c>
      <c r="O622" s="4" t="str">
        <f aca="false">IF(Prowler!N622="", "", _xlfn.CONCAT("[{""key"":""",SUBSTITUTE(SUBSTITUTE(Prowler!N622,"=",""",""value"":""")," | ","""},{""key"":"""),"""}]"))</f>
        <v/>
      </c>
    </row>
    <row r="623" customFormat="false" ht="124.55" hidden="false" customHeight="false" outlineLevel="0" collapsed="false">
      <c r="B623" s="1" t="str">
        <f aca="false">UPPER(Prowler!C623)</f>
        <v/>
      </c>
      <c r="C623" s="1" t="str">
        <f aca="false">IF(Prowler!AL623&lt;&gt;"",Prowler!AL623, _xlfn.CONCAT("arn:aws:ec2:",F623,":",Prowler!AD623,":instance/",Prowler!AK623))</f>
        <v>arn:aws:ec2:::instance/</v>
      </c>
      <c r="F623" s="1" t="n">
        <f aca="false">Prowler!AJ623</f>
        <v>0</v>
      </c>
      <c r="G623" s="1" t="n">
        <f aca="false">Prowler!E623</f>
        <v>0</v>
      </c>
      <c r="H623" s="4" t="str">
        <f aca="false">_xlfn.TEXTJOIN(CHAR(10),1, Prowler!O623:Q623)</f>
        <v/>
      </c>
      <c r="I623" s="4" t="str">
        <f aca="false">_xlfn.TEXTJOIN(CHAR(10),1, Prowler!R623:W623)</f>
        <v/>
      </c>
      <c r="J623" s="1" t="n">
        <f aca="false">IF(Prowler!K623="critical",10, IF(Prowler!K623="high",7, IF(Prowler!K623="medium",5, 1)))</f>
        <v>1</v>
      </c>
      <c r="M623" s="3" t="n">
        <f aca="false">Prowler!A623</f>
        <v>0</v>
      </c>
      <c r="O623" s="4" t="str">
        <f aca="false">IF(Prowler!N623="", "", _xlfn.CONCAT("[{""key"":""",SUBSTITUTE(SUBSTITUTE(Prowler!N623,"=",""",""value"":""")," | ","""},{""key"":"""),"""}]"))</f>
        <v/>
      </c>
    </row>
    <row r="624" customFormat="false" ht="68.3" hidden="false" customHeight="false" outlineLevel="0" collapsed="false">
      <c r="B624" s="1" t="str">
        <f aca="false">UPPER(Prowler!C624)</f>
        <v/>
      </c>
      <c r="C624" s="1" t="str">
        <f aca="false">IF(Prowler!AL624&lt;&gt;"",Prowler!AL624, _xlfn.CONCAT("arn:aws:ec2:",F624,":",Prowler!AD624,":instance/",Prowler!AK624))</f>
        <v>arn:aws:ec2:::instance/</v>
      </c>
      <c r="F624" s="1" t="n">
        <f aca="false">Prowler!AJ624</f>
        <v>0</v>
      </c>
      <c r="G624" s="1" t="n">
        <f aca="false">Prowler!E624</f>
        <v>0</v>
      </c>
      <c r="H624" s="4" t="str">
        <f aca="false">_xlfn.TEXTJOIN(CHAR(10),1, Prowler!O624:Q624)</f>
        <v/>
      </c>
      <c r="I624" s="4" t="str">
        <f aca="false">_xlfn.TEXTJOIN(CHAR(10),1, Prowler!R624:W624)</f>
        <v/>
      </c>
      <c r="J624" s="1" t="n">
        <f aca="false">IF(Prowler!K624="critical",10, IF(Prowler!K624="high",7, IF(Prowler!K624="medium",5, 1)))</f>
        <v>1</v>
      </c>
      <c r="M624" s="3" t="n">
        <f aca="false">Prowler!A624</f>
        <v>0</v>
      </c>
      <c r="O624" s="4" t="str">
        <f aca="false">IF(Prowler!N624="", "", _xlfn.CONCAT("[{""key"":""",SUBSTITUTE(SUBSTITUTE(Prowler!N624,"=",""",""value"":""")," | ","""},{""key"":"""),"""}]"))</f>
        <v/>
      </c>
    </row>
    <row r="625" customFormat="false" ht="68.3" hidden="false" customHeight="false" outlineLevel="0" collapsed="false">
      <c r="B625" s="1" t="str">
        <f aca="false">UPPER(Prowler!C625)</f>
        <v/>
      </c>
      <c r="C625" s="1" t="str">
        <f aca="false">IF(Prowler!AL625&lt;&gt;"",Prowler!AL625, _xlfn.CONCAT("arn:aws:ec2:",F625,":",Prowler!AD625,":instance/",Prowler!AK625))</f>
        <v>arn:aws:ec2:::instance/</v>
      </c>
      <c r="F625" s="1" t="n">
        <f aca="false">Prowler!AJ625</f>
        <v>0</v>
      </c>
      <c r="G625" s="1" t="n">
        <f aca="false">Prowler!E625</f>
        <v>0</v>
      </c>
      <c r="H625" s="4" t="str">
        <f aca="false">_xlfn.TEXTJOIN(CHAR(10),1, Prowler!O625:Q625)</f>
        <v/>
      </c>
      <c r="I625" s="4" t="str">
        <f aca="false">_xlfn.TEXTJOIN(CHAR(10),1, Prowler!R625:W625)</f>
        <v/>
      </c>
      <c r="J625" s="1" t="n">
        <f aca="false">IF(Prowler!K625="critical",10, IF(Prowler!K625="high",7, IF(Prowler!K625="medium",5, 1)))</f>
        <v>1</v>
      </c>
      <c r="M625" s="3" t="n">
        <f aca="false">Prowler!A625</f>
        <v>0</v>
      </c>
      <c r="O625" s="4" t="str">
        <f aca="false">IF(Prowler!N625="", "", _xlfn.CONCAT("[{""key"":""",SUBSTITUTE(SUBSTITUTE(Prowler!N625,"=",""",""value"":""")," | ","""},{""key"":"""),"""}]"))</f>
        <v/>
      </c>
    </row>
    <row r="626" customFormat="false" ht="68.3" hidden="false" customHeight="false" outlineLevel="0" collapsed="false">
      <c r="B626" s="1" t="str">
        <f aca="false">UPPER(Prowler!C626)</f>
        <v/>
      </c>
      <c r="C626" s="1" t="str">
        <f aca="false">IF(Prowler!AL626&lt;&gt;"",Prowler!AL626, _xlfn.CONCAT("arn:aws:ec2:",F626,":",Prowler!AD626,":instance/",Prowler!AK626))</f>
        <v>arn:aws:ec2:::instance/</v>
      </c>
      <c r="F626" s="1" t="n">
        <f aca="false">Prowler!AJ626</f>
        <v>0</v>
      </c>
      <c r="G626" s="1" t="n">
        <f aca="false">Prowler!E626</f>
        <v>0</v>
      </c>
      <c r="H626" s="4" t="str">
        <f aca="false">_xlfn.TEXTJOIN(CHAR(10),1, Prowler!O626:Q626)</f>
        <v/>
      </c>
      <c r="I626" s="4" t="str">
        <f aca="false">_xlfn.TEXTJOIN(CHAR(10),1, Prowler!R626:W626)</f>
        <v/>
      </c>
      <c r="J626" s="1" t="n">
        <f aca="false">IF(Prowler!K626="critical",10, IF(Prowler!K626="high",7, IF(Prowler!K626="medium",5, 1)))</f>
        <v>1</v>
      </c>
      <c r="M626" s="3" t="n">
        <f aca="false">Prowler!A626</f>
        <v>0</v>
      </c>
      <c r="O626" s="4" t="str">
        <f aca="false">IF(Prowler!N626="", "", _xlfn.CONCAT("[{""key"":""",SUBSTITUTE(SUBSTITUTE(Prowler!N626,"=",""",""value"":""")," | ","""},{""key"":"""),"""}]"))</f>
        <v/>
      </c>
    </row>
    <row r="627" customFormat="false" ht="68.3" hidden="false" customHeight="false" outlineLevel="0" collapsed="false">
      <c r="B627" s="1" t="str">
        <f aca="false">UPPER(Prowler!C627)</f>
        <v/>
      </c>
      <c r="C627" s="1" t="str">
        <f aca="false">IF(Prowler!AL627&lt;&gt;"",Prowler!AL627, _xlfn.CONCAT("arn:aws:ec2:",F627,":",Prowler!AD627,":instance/",Prowler!AK627))</f>
        <v>arn:aws:ec2:::instance/</v>
      </c>
      <c r="F627" s="1" t="n">
        <f aca="false">Prowler!AJ627</f>
        <v>0</v>
      </c>
      <c r="G627" s="1" t="n">
        <f aca="false">Prowler!E627</f>
        <v>0</v>
      </c>
      <c r="H627" s="4" t="str">
        <f aca="false">_xlfn.TEXTJOIN(CHAR(10),1, Prowler!O627:Q627)</f>
        <v/>
      </c>
      <c r="I627" s="4" t="str">
        <f aca="false">_xlfn.TEXTJOIN(CHAR(10),1, Prowler!R627:W627)</f>
        <v/>
      </c>
      <c r="J627" s="1" t="n">
        <f aca="false">IF(Prowler!K627="critical",10, IF(Prowler!K627="high",7, IF(Prowler!K627="medium",5, 1)))</f>
        <v>1</v>
      </c>
      <c r="M627" s="3" t="n">
        <f aca="false">Prowler!A627</f>
        <v>0</v>
      </c>
      <c r="O627" s="4" t="str">
        <f aca="false">IF(Prowler!N627="", "", _xlfn.CONCAT("[{""key"":""",SUBSTITUTE(SUBSTITUTE(Prowler!N627,"=",""",""value"":""")," | ","""},{""key"":"""),"""}]"))</f>
        <v/>
      </c>
    </row>
    <row r="628" customFormat="false" ht="68.3" hidden="false" customHeight="false" outlineLevel="0" collapsed="false">
      <c r="B628" s="1" t="str">
        <f aca="false">UPPER(Prowler!C628)</f>
        <v/>
      </c>
      <c r="C628" s="1" t="str">
        <f aca="false">IF(Prowler!AL628&lt;&gt;"",Prowler!AL628, _xlfn.CONCAT("arn:aws:ec2:",F628,":",Prowler!AD628,":instance/",Prowler!AK628))</f>
        <v>arn:aws:ec2:::instance/</v>
      </c>
      <c r="F628" s="1" t="n">
        <f aca="false">Prowler!AJ628</f>
        <v>0</v>
      </c>
      <c r="G628" s="1" t="n">
        <f aca="false">Prowler!E628</f>
        <v>0</v>
      </c>
      <c r="H628" s="4" t="str">
        <f aca="false">_xlfn.TEXTJOIN(CHAR(10),1, Prowler!O628:Q628)</f>
        <v/>
      </c>
      <c r="I628" s="4" t="str">
        <f aca="false">_xlfn.TEXTJOIN(CHAR(10),1, Prowler!R628:W628)</f>
        <v/>
      </c>
      <c r="J628" s="1" t="n">
        <f aca="false">IF(Prowler!K628="critical",10, IF(Prowler!K628="high",7, IF(Prowler!K628="medium",5, 1)))</f>
        <v>1</v>
      </c>
      <c r="M628" s="3" t="n">
        <f aca="false">Prowler!A628</f>
        <v>0</v>
      </c>
      <c r="O628" s="4" t="str">
        <f aca="false">IF(Prowler!N628="", "", _xlfn.CONCAT("[{""key"":""",SUBSTITUTE(SUBSTITUTE(Prowler!N628,"=",""",""value"":""")," | ","""},{""key"":"""),"""}]"))</f>
        <v/>
      </c>
    </row>
    <row r="629" customFormat="false" ht="68.3" hidden="false" customHeight="false" outlineLevel="0" collapsed="false">
      <c r="B629" s="1" t="str">
        <f aca="false">UPPER(Prowler!C629)</f>
        <v/>
      </c>
      <c r="C629" s="1" t="str">
        <f aca="false">IF(Prowler!AL629&lt;&gt;"",Prowler!AL629, _xlfn.CONCAT("arn:aws:ec2:",F629,":",Prowler!AD629,":instance/",Prowler!AK629))</f>
        <v>arn:aws:ec2:::instance/</v>
      </c>
      <c r="F629" s="1" t="n">
        <f aca="false">Prowler!AJ629</f>
        <v>0</v>
      </c>
      <c r="G629" s="1" t="n">
        <f aca="false">Prowler!E629</f>
        <v>0</v>
      </c>
      <c r="H629" s="4" t="str">
        <f aca="false">_xlfn.TEXTJOIN(CHAR(10),1, Prowler!O629:Q629)</f>
        <v/>
      </c>
      <c r="I629" s="4" t="str">
        <f aca="false">_xlfn.TEXTJOIN(CHAR(10),1, Prowler!R629:W629)</f>
        <v/>
      </c>
      <c r="J629" s="1" t="n">
        <f aca="false">IF(Prowler!K629="critical",10, IF(Prowler!K629="high",7, IF(Prowler!K629="medium",5, 1)))</f>
        <v>1</v>
      </c>
      <c r="M629" s="3" t="n">
        <f aca="false">Prowler!A629</f>
        <v>0</v>
      </c>
      <c r="O629" s="4" t="str">
        <f aca="false">IF(Prowler!N629="", "", _xlfn.CONCAT("[{""key"":""",SUBSTITUTE(SUBSTITUTE(Prowler!N629,"=",""",""value"":""")," | ","""},{""key"":"""),"""}]"))</f>
        <v/>
      </c>
    </row>
    <row r="630" customFormat="false" ht="68.3" hidden="false" customHeight="false" outlineLevel="0" collapsed="false">
      <c r="B630" s="1" t="str">
        <f aca="false">UPPER(Prowler!C630)</f>
        <v/>
      </c>
      <c r="C630" s="1" t="str">
        <f aca="false">IF(Prowler!AL630&lt;&gt;"",Prowler!AL630, _xlfn.CONCAT("arn:aws:ec2:",F630,":",Prowler!AD630,":instance/",Prowler!AK630))</f>
        <v>arn:aws:ec2:::instance/</v>
      </c>
      <c r="F630" s="1" t="n">
        <f aca="false">Prowler!AJ630</f>
        <v>0</v>
      </c>
      <c r="G630" s="1" t="n">
        <f aca="false">Prowler!E630</f>
        <v>0</v>
      </c>
      <c r="H630" s="4" t="str">
        <f aca="false">_xlfn.TEXTJOIN(CHAR(10),1, Prowler!O630:Q630)</f>
        <v/>
      </c>
      <c r="I630" s="4" t="str">
        <f aca="false">_xlfn.TEXTJOIN(CHAR(10),1, Prowler!R630:W630)</f>
        <v/>
      </c>
      <c r="J630" s="1" t="n">
        <f aca="false">IF(Prowler!K630="critical",10, IF(Prowler!K630="high",7, IF(Prowler!K630="medium",5, 1)))</f>
        <v>1</v>
      </c>
      <c r="M630" s="3" t="n">
        <f aca="false">Prowler!A630</f>
        <v>0</v>
      </c>
      <c r="O630" s="4" t="str">
        <f aca="false">IF(Prowler!N630="", "", _xlfn.CONCAT("[{""key"":""",SUBSTITUTE(SUBSTITUTE(Prowler!N630,"=",""",""value"":""")," | ","""},{""key"":"""),"""}]"))</f>
        <v/>
      </c>
    </row>
    <row r="631" customFormat="false" ht="68.3" hidden="false" customHeight="false" outlineLevel="0" collapsed="false">
      <c r="B631" s="1" t="str">
        <f aca="false">UPPER(Prowler!C631)</f>
        <v/>
      </c>
      <c r="C631" s="1" t="str">
        <f aca="false">IF(Prowler!AL631&lt;&gt;"",Prowler!AL631, _xlfn.CONCAT("arn:aws:ec2:",F631,":",Prowler!AD631,":instance/",Prowler!AK631))</f>
        <v>arn:aws:ec2:::instance/</v>
      </c>
      <c r="F631" s="1" t="n">
        <f aca="false">Prowler!AJ631</f>
        <v>0</v>
      </c>
      <c r="G631" s="1" t="n">
        <f aca="false">Prowler!E631</f>
        <v>0</v>
      </c>
      <c r="H631" s="4" t="str">
        <f aca="false">_xlfn.TEXTJOIN(CHAR(10),1, Prowler!O631:Q631)</f>
        <v/>
      </c>
      <c r="I631" s="4" t="str">
        <f aca="false">_xlfn.TEXTJOIN(CHAR(10),1, Prowler!R631:W631)</f>
        <v/>
      </c>
      <c r="J631" s="1" t="n">
        <f aca="false">IF(Prowler!K631="critical",10, IF(Prowler!K631="high",7, IF(Prowler!K631="medium",5, 1)))</f>
        <v>1</v>
      </c>
      <c r="M631" s="3" t="n">
        <f aca="false">Prowler!A631</f>
        <v>0</v>
      </c>
      <c r="O631" s="4" t="str">
        <f aca="false">IF(Prowler!N631="", "", _xlfn.CONCAT("[{""key"":""",SUBSTITUTE(SUBSTITUTE(Prowler!N631,"=",""",""value"":""")," | ","""},{""key"":"""),"""}]"))</f>
        <v/>
      </c>
    </row>
    <row r="632" customFormat="false" ht="68.3" hidden="false" customHeight="false" outlineLevel="0" collapsed="false">
      <c r="B632" s="1" t="str">
        <f aca="false">UPPER(Prowler!C632)</f>
        <v/>
      </c>
      <c r="C632" s="1" t="str">
        <f aca="false">IF(Prowler!AL632&lt;&gt;"",Prowler!AL632, _xlfn.CONCAT("arn:aws:ec2:",F632,":",Prowler!AD632,":instance/",Prowler!AK632))</f>
        <v>arn:aws:ec2:::instance/</v>
      </c>
      <c r="F632" s="1" t="n">
        <f aca="false">Prowler!AJ632</f>
        <v>0</v>
      </c>
      <c r="G632" s="1" t="n">
        <f aca="false">Prowler!E632</f>
        <v>0</v>
      </c>
      <c r="H632" s="4" t="str">
        <f aca="false">_xlfn.TEXTJOIN(CHAR(10),1, Prowler!O632:Q632)</f>
        <v/>
      </c>
      <c r="I632" s="4" t="str">
        <f aca="false">_xlfn.TEXTJOIN(CHAR(10),1, Prowler!R632:W632)</f>
        <v/>
      </c>
      <c r="J632" s="1" t="n">
        <f aca="false">IF(Prowler!K632="critical",10, IF(Prowler!K632="high",7, IF(Prowler!K632="medium",5, 1)))</f>
        <v>1</v>
      </c>
      <c r="M632" s="3" t="n">
        <f aca="false">Prowler!A632</f>
        <v>0</v>
      </c>
      <c r="O632" s="4" t="str">
        <f aca="false">IF(Prowler!N632="", "", _xlfn.CONCAT("[{""key"":""",SUBSTITUTE(SUBSTITUTE(Prowler!N632,"=",""",""value"":""")," | ","""},{""key"":"""),"""}]"))</f>
        <v/>
      </c>
    </row>
    <row r="633" customFormat="false" ht="68.3" hidden="false" customHeight="false" outlineLevel="0" collapsed="false">
      <c r="B633" s="1" t="str">
        <f aca="false">UPPER(Prowler!C633)</f>
        <v/>
      </c>
      <c r="C633" s="1" t="str">
        <f aca="false">IF(Prowler!AL633&lt;&gt;"",Prowler!AL633, _xlfn.CONCAT("arn:aws:ec2:",F633,":",Prowler!AD633,":instance/",Prowler!AK633))</f>
        <v>arn:aws:ec2:::instance/</v>
      </c>
      <c r="F633" s="1" t="n">
        <f aca="false">Prowler!AJ633</f>
        <v>0</v>
      </c>
      <c r="G633" s="1" t="n">
        <f aca="false">Prowler!E633</f>
        <v>0</v>
      </c>
      <c r="H633" s="4" t="str">
        <f aca="false">_xlfn.TEXTJOIN(CHAR(10),1, Prowler!O633:Q633)</f>
        <v/>
      </c>
      <c r="I633" s="4" t="str">
        <f aca="false">_xlfn.TEXTJOIN(CHAR(10),1, Prowler!R633:W633)</f>
        <v/>
      </c>
      <c r="J633" s="1" t="n">
        <f aca="false">IF(Prowler!K633="critical",10, IF(Prowler!K633="high",7, IF(Prowler!K633="medium",5, 1)))</f>
        <v>1</v>
      </c>
      <c r="M633" s="3" t="n">
        <f aca="false">Prowler!A633</f>
        <v>0</v>
      </c>
      <c r="O633" s="4" t="str">
        <f aca="false">IF(Prowler!N633="", "", _xlfn.CONCAT("[{""key"":""",SUBSTITUTE(SUBSTITUTE(Prowler!N633,"=",""",""value"":""")," | ","""},{""key"":"""),"""}]"))</f>
        <v/>
      </c>
    </row>
    <row r="634" customFormat="false" ht="68.3" hidden="false" customHeight="false" outlineLevel="0" collapsed="false">
      <c r="B634" s="1" t="str">
        <f aca="false">UPPER(Prowler!C634)</f>
        <v/>
      </c>
      <c r="C634" s="1" t="str">
        <f aca="false">IF(Prowler!AL634&lt;&gt;"",Prowler!AL634, _xlfn.CONCAT("arn:aws:ec2:",F634,":",Prowler!AD634,":instance/",Prowler!AK634))</f>
        <v>arn:aws:ec2:::instance/</v>
      </c>
      <c r="F634" s="1" t="n">
        <f aca="false">Prowler!AJ634</f>
        <v>0</v>
      </c>
      <c r="G634" s="1" t="n">
        <f aca="false">Prowler!E634</f>
        <v>0</v>
      </c>
      <c r="H634" s="4" t="str">
        <f aca="false">_xlfn.TEXTJOIN(CHAR(10),1, Prowler!O634:Q634)</f>
        <v/>
      </c>
      <c r="I634" s="4" t="str">
        <f aca="false">_xlfn.TEXTJOIN(CHAR(10),1, Prowler!R634:W634)</f>
        <v/>
      </c>
      <c r="J634" s="1" t="n">
        <f aca="false">IF(Prowler!K634="critical",10, IF(Prowler!K634="high",7, IF(Prowler!K634="medium",5, 1)))</f>
        <v>1</v>
      </c>
      <c r="M634" s="3" t="n">
        <f aca="false">Prowler!A634</f>
        <v>0</v>
      </c>
      <c r="O634" s="4" t="str">
        <f aca="false">IF(Prowler!N634="", "", _xlfn.CONCAT("[{""key"":""",SUBSTITUTE(SUBSTITUTE(Prowler!N634,"=",""",""value"":""")," | ","""},{""key"":"""),"""}]"))</f>
        <v/>
      </c>
    </row>
    <row r="635" customFormat="false" ht="68.3" hidden="false" customHeight="false" outlineLevel="0" collapsed="false">
      <c r="B635" s="1" t="str">
        <f aca="false">UPPER(Prowler!C635)</f>
        <v/>
      </c>
      <c r="C635" s="1" t="str">
        <f aca="false">IF(Prowler!AL635&lt;&gt;"",Prowler!AL635, _xlfn.CONCAT("arn:aws:ec2:",F635,":",Prowler!AD635,":instance/",Prowler!AK635))</f>
        <v>arn:aws:ec2:::instance/</v>
      </c>
      <c r="F635" s="1" t="n">
        <f aca="false">Prowler!AJ635</f>
        <v>0</v>
      </c>
      <c r="G635" s="1" t="n">
        <f aca="false">Prowler!E635</f>
        <v>0</v>
      </c>
      <c r="H635" s="4" t="str">
        <f aca="false">_xlfn.TEXTJOIN(CHAR(10),1, Prowler!O635:Q635)</f>
        <v/>
      </c>
      <c r="I635" s="4" t="str">
        <f aca="false">_xlfn.TEXTJOIN(CHAR(10),1, Prowler!R635:W635)</f>
        <v/>
      </c>
      <c r="J635" s="1" t="n">
        <f aca="false">IF(Prowler!K635="critical",10, IF(Prowler!K635="high",7, IF(Prowler!K635="medium",5, 1)))</f>
        <v>1</v>
      </c>
      <c r="M635" s="3" t="n">
        <f aca="false">Prowler!A635</f>
        <v>0</v>
      </c>
      <c r="O635" s="4" t="str">
        <f aca="false">IF(Prowler!N635="", "", _xlfn.CONCAT("[{""key"":""",SUBSTITUTE(SUBSTITUTE(Prowler!N635,"=",""",""value"":""")," | ","""},{""key"":"""),"""}]"))</f>
        <v/>
      </c>
    </row>
    <row r="636" customFormat="false" ht="68.3" hidden="false" customHeight="false" outlineLevel="0" collapsed="false">
      <c r="B636" s="1" t="str">
        <f aca="false">UPPER(Prowler!C636)</f>
        <v/>
      </c>
      <c r="C636" s="1" t="str">
        <f aca="false">IF(Prowler!AL636&lt;&gt;"",Prowler!AL636, _xlfn.CONCAT("arn:aws:ec2:",F636,":",Prowler!AD636,":instance/",Prowler!AK636))</f>
        <v>arn:aws:ec2:::instance/</v>
      </c>
      <c r="F636" s="1" t="n">
        <f aca="false">Prowler!AJ636</f>
        <v>0</v>
      </c>
      <c r="G636" s="1" t="n">
        <f aca="false">Prowler!E636</f>
        <v>0</v>
      </c>
      <c r="H636" s="4" t="str">
        <f aca="false">_xlfn.TEXTJOIN(CHAR(10),1, Prowler!O636:Q636)</f>
        <v/>
      </c>
      <c r="I636" s="4" t="str">
        <f aca="false">_xlfn.TEXTJOIN(CHAR(10),1, Prowler!R636:W636)</f>
        <v/>
      </c>
      <c r="J636" s="1" t="n">
        <f aca="false">IF(Prowler!K636="critical",10, IF(Prowler!K636="high",7, IF(Prowler!K636="medium",5, 1)))</f>
        <v>1</v>
      </c>
      <c r="M636" s="3" t="n">
        <f aca="false">Prowler!A636</f>
        <v>0</v>
      </c>
      <c r="O636" s="4" t="str">
        <f aca="false">IF(Prowler!N636="", "", _xlfn.CONCAT("[{""key"":""",SUBSTITUTE(SUBSTITUTE(Prowler!N636,"=",""",""value"":""")," | ","""},{""key"":"""),"""}]"))</f>
        <v/>
      </c>
    </row>
    <row r="637" customFormat="false" ht="68.3" hidden="false" customHeight="false" outlineLevel="0" collapsed="false">
      <c r="B637" s="1" t="str">
        <f aca="false">UPPER(Prowler!C637)</f>
        <v/>
      </c>
      <c r="C637" s="1" t="str">
        <f aca="false">IF(Prowler!AL637&lt;&gt;"",Prowler!AL637, _xlfn.CONCAT("arn:aws:ec2:",F637,":",Prowler!AD637,":instance/",Prowler!AK637))</f>
        <v>arn:aws:ec2:::instance/</v>
      </c>
      <c r="F637" s="1" t="n">
        <f aca="false">Prowler!AJ637</f>
        <v>0</v>
      </c>
      <c r="G637" s="1" t="n">
        <f aca="false">Prowler!E637</f>
        <v>0</v>
      </c>
      <c r="H637" s="4" t="str">
        <f aca="false">_xlfn.TEXTJOIN(CHAR(10),1, Prowler!O637:Q637)</f>
        <v/>
      </c>
      <c r="I637" s="4" t="str">
        <f aca="false">_xlfn.TEXTJOIN(CHAR(10),1, Prowler!R637:W637)</f>
        <v/>
      </c>
      <c r="J637" s="1" t="n">
        <f aca="false">IF(Prowler!K637="critical",10, IF(Prowler!K637="high",7, IF(Prowler!K637="medium",5, 1)))</f>
        <v>1</v>
      </c>
      <c r="M637" s="3" t="n">
        <f aca="false">Prowler!A637</f>
        <v>0</v>
      </c>
      <c r="O637" s="4" t="str">
        <f aca="false">IF(Prowler!N637="", "", _xlfn.CONCAT("[{""key"":""",SUBSTITUTE(SUBSTITUTE(Prowler!N637,"=",""",""value"":""")," | ","""},{""key"":"""),"""}]"))</f>
        <v/>
      </c>
    </row>
    <row r="638" customFormat="false" ht="68.3" hidden="false" customHeight="false" outlineLevel="0" collapsed="false">
      <c r="B638" s="1" t="str">
        <f aca="false">UPPER(Prowler!C638)</f>
        <v/>
      </c>
      <c r="C638" s="1" t="str">
        <f aca="false">IF(Prowler!AL638&lt;&gt;"",Prowler!AL638, _xlfn.CONCAT("arn:aws:ec2:",F638,":",Prowler!AD638,":instance/",Prowler!AK638))</f>
        <v>arn:aws:ec2:::instance/</v>
      </c>
      <c r="F638" s="1" t="n">
        <f aca="false">Prowler!AJ638</f>
        <v>0</v>
      </c>
      <c r="G638" s="1" t="n">
        <f aca="false">Prowler!E638</f>
        <v>0</v>
      </c>
      <c r="H638" s="4" t="str">
        <f aca="false">_xlfn.TEXTJOIN(CHAR(10),1, Prowler!O638:Q638)</f>
        <v/>
      </c>
      <c r="I638" s="4" t="str">
        <f aca="false">_xlfn.TEXTJOIN(CHAR(10),1, Prowler!R638:W638)</f>
        <v/>
      </c>
      <c r="J638" s="1" t="n">
        <f aca="false">IF(Prowler!K638="critical",10, IF(Prowler!K638="high",7, IF(Prowler!K638="medium",5, 1)))</f>
        <v>1</v>
      </c>
      <c r="M638" s="3" t="n">
        <f aca="false">Prowler!A638</f>
        <v>0</v>
      </c>
      <c r="O638" s="4" t="str">
        <f aca="false">IF(Prowler!N638="", "", _xlfn.CONCAT("[{""key"":""",SUBSTITUTE(SUBSTITUTE(Prowler!N638,"=",""",""value"":""")," | ","""},{""key"":"""),"""}]"))</f>
        <v/>
      </c>
    </row>
    <row r="639" customFormat="false" ht="68.3" hidden="false" customHeight="false" outlineLevel="0" collapsed="false">
      <c r="B639" s="1" t="str">
        <f aca="false">UPPER(Prowler!C639)</f>
        <v/>
      </c>
      <c r="C639" s="1" t="str">
        <f aca="false">IF(Prowler!AL639&lt;&gt;"",Prowler!AL639, _xlfn.CONCAT("arn:aws:ec2:",F639,":",Prowler!AD639,":instance/",Prowler!AK639))</f>
        <v>arn:aws:ec2:::instance/</v>
      </c>
      <c r="F639" s="1" t="n">
        <f aca="false">Prowler!AJ639</f>
        <v>0</v>
      </c>
      <c r="G639" s="1" t="n">
        <f aca="false">Prowler!E639</f>
        <v>0</v>
      </c>
      <c r="H639" s="4" t="str">
        <f aca="false">_xlfn.TEXTJOIN(CHAR(10),1, Prowler!O639:Q639)</f>
        <v/>
      </c>
      <c r="I639" s="4" t="str">
        <f aca="false">_xlfn.TEXTJOIN(CHAR(10),1, Prowler!R639:W639)</f>
        <v/>
      </c>
      <c r="J639" s="1" t="n">
        <f aca="false">IF(Prowler!K639="critical",10, IF(Prowler!K639="high",7, IF(Prowler!K639="medium",5, 1)))</f>
        <v>1</v>
      </c>
      <c r="M639" s="3" t="n">
        <f aca="false">Prowler!A639</f>
        <v>0</v>
      </c>
      <c r="O639" s="4" t="str">
        <f aca="false">IF(Prowler!N639="", "", _xlfn.CONCAT("[{""key"":""",SUBSTITUTE(SUBSTITUTE(Prowler!N639,"=",""",""value"":""")," | ","""},{""key"":"""),"""}]"))</f>
        <v/>
      </c>
    </row>
    <row r="640" customFormat="false" ht="68.3" hidden="false" customHeight="false" outlineLevel="0" collapsed="false">
      <c r="B640" s="1" t="str">
        <f aca="false">UPPER(Prowler!C640)</f>
        <v/>
      </c>
      <c r="C640" s="1" t="str">
        <f aca="false">IF(Prowler!AL640&lt;&gt;"",Prowler!AL640, _xlfn.CONCAT("arn:aws:ec2:",F640,":",Prowler!AD640,":instance/",Prowler!AK640))</f>
        <v>arn:aws:ec2:::instance/</v>
      </c>
      <c r="F640" s="1" t="n">
        <f aca="false">Prowler!AJ640</f>
        <v>0</v>
      </c>
      <c r="G640" s="1" t="n">
        <f aca="false">Prowler!E640</f>
        <v>0</v>
      </c>
      <c r="H640" s="4" t="str">
        <f aca="false">_xlfn.TEXTJOIN(CHAR(10),1, Prowler!O640:Q640)</f>
        <v/>
      </c>
      <c r="I640" s="4" t="str">
        <f aca="false">_xlfn.TEXTJOIN(CHAR(10),1, Prowler!R640:W640)</f>
        <v/>
      </c>
      <c r="J640" s="1" t="n">
        <f aca="false">IF(Prowler!K640="critical",10, IF(Prowler!K640="high",7, IF(Prowler!K640="medium",5, 1)))</f>
        <v>1</v>
      </c>
      <c r="M640" s="3" t="n">
        <f aca="false">Prowler!A640</f>
        <v>0</v>
      </c>
      <c r="O640" s="4" t="str">
        <f aca="false">IF(Prowler!N640="", "", _xlfn.CONCAT("[{""key"":""",SUBSTITUTE(SUBSTITUTE(Prowler!N640,"=",""",""value"":""")," | ","""},{""key"":"""),"""}]"))</f>
        <v/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1907</TotalTime>
  <Application>LibreOffice/7.6.6.3$Linux_X86_64 LibreOffice_project/60$Build-3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2024-04-16T21:53:27Z</dcterms:created>
  <dc:creator>Alfonso Eusebio</dc:creator>
  <dc:description/>
  <dc:language>en-GB</dc:language>
  <cp:lastModifiedBy>Alfonso Eusebio</cp:lastModifiedBy>
  <dcterms:modified xsi:type="dcterms:W3CDTF">2024-05-08T16:08:56Z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